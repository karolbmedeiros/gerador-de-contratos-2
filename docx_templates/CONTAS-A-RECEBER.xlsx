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Relatório!$A$5:$D$5</definedName>
    <definedName name="_xlnm.Print_Area" localSheetId="0">Relatório!$A$1:$D$54</definedName>
  </definedNames>
  <calcPr fullCalcOnLoad="1" fullPrecision="1"/>
</workbook>
</file>

<file path=xl/sharedStrings.xml><?xml version="1.0" encoding="utf-8"?>
<sst xmlns="http://schemas.openxmlformats.org/spreadsheetml/2006/main" count="84" uniqueCount="84">
  <si>
    <t>Contas a Receber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</si>
  <si>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Tipo de data: DATA DE VENCIMENTO, Data Inicial: 01/08/2025, Data Final: 23/04/2026, Recebido: Não</t>
    </r>
  </si>
  <si>
    <t>Relatório exportado em quinta-feira, 23 de abril de 2026 por KAROL MEDEIROS</t>
  </si>
  <si>
    <t>Descrição</t>
  </si>
  <si>
    <t>Receber de</t>
  </si>
  <si>
    <t>Valor Previsto</t>
  </si>
  <si>
    <t>Data de Vencimento</t>
  </si>
  <si>
    <t>FATURAMENTO DE LOCAÇÃO (QGT-9D86) DE 01/09/2025 A 07/09/2025 FA-10150</t>
  </si>
  <si>
    <t>PRISSILLA CRISLLEY JESSUS DE ALENCAR SIQUEIRA</t>
  </si>
  <si>
    <t>FATURAMENTO DE MULTAS DE 01/12/2025 A 31/12/2025 ND-11056</t>
  </si>
  <si>
    <t>LENILDO DE LIMA</t>
  </si>
  <si>
    <t>ACORDO - ANA CONCEIÇÃO</t>
  </si>
  <si>
    <t>ANA CONCEIÇÃO CARNEIRO DE ALBUQUERQUE</t>
  </si>
  <si>
    <t>FATURAMENTO DE LOCAÇÃO (RGE-7H03) DE 06/04/2026 A 12/04/2026 FA-11240</t>
  </si>
  <si>
    <t>DIEGO TAYAO DANTAS</t>
  </si>
  <si>
    <t>FATURAMENTO DE LOCAÇÃO (RUC-8C45) DE 30/03/2026 A 05/04/2026 FA-11253</t>
  </si>
  <si>
    <t>LEONARDO GOMES DO NASCIMENTO</t>
  </si>
  <si>
    <t>FATURAMENTO DE LOCAÇÃO (ECZ-8C02) DE 13/04/2026 A 19/04/2026 FA-11447</t>
  </si>
  <si>
    <t>DERICK PEDRO BEZERRA DA ROCHA</t>
  </si>
  <si>
    <t>FATURAMENTO DE LOCAÇÃO (EVE-7G53) DE 13/04/2026 A 19/04/2026 FA-11421</t>
  </si>
  <si>
    <t>OLIZIEL DA SILVA CARDOSO</t>
  </si>
  <si>
    <t>FATURAMENTO DE LOCAÇÃO (EVE-7G53) DE 23/03/2026 A 29/03/2026 FA-11155</t>
  </si>
  <si>
    <t>FATURAMENTO DE LOCAÇÃO (EXF-1F14) DE 06/04/2026 A 12/04/2026 FA-11495</t>
  </si>
  <si>
    <t>ANDRE CAVALCANTI DA FE</t>
  </si>
  <si>
    <t>FATURAMENTO DE LOCAÇÃO (EXF-1F14) DE 13/04/2026 A 19/04/2026 FA-11496</t>
  </si>
  <si>
    <t>FATURAMENTO DE LOCAÇÃO (QGN-9356) DE 13/04/2026 A 19/04/2026 FA-11423</t>
  </si>
  <si>
    <t>YURI BATISTA DA COSTA</t>
  </si>
  <si>
    <t>FATURAMENTO DE LOCAÇÃO (QGQ-2837) DE 13/04/2026 A 19/04/2026 FA-11512</t>
  </si>
  <si>
    <t>ALBERTO MANOEL DOS REIS</t>
  </si>
  <si>
    <t>FATURAMENTO DE LOCAÇÃO (QGS-6G16) DE 13/04/2026 A 19/04/2026 FA-11406</t>
  </si>
  <si>
    <t>DAVI HENRIQUE DANTAS DE SOUZA</t>
  </si>
  <si>
    <t>FATURAMENTO DE LOCAÇÃO (QSE-8E63) DE 10/11/2025 A 16/11/2025 FA-10569</t>
  </si>
  <si>
    <t>ADRIANO SANTOS DE CARVALHO</t>
  </si>
  <si>
    <t>FATURAMENTO DE LOCAÇÃO (QXL-1E71) DE 13/04/2026 A 19/04/2026 FA-11114</t>
  </si>
  <si>
    <t>NICOLAS JUAN HENRIQUE SILVA DE MARIA</t>
  </si>
  <si>
    <t>FATURAMENTO DE LOCAÇÃO (RUC-8C45) DE 13/04/2026 A 19/04/2026 FA-11255</t>
  </si>
  <si>
    <t>FATURAMENTO DE LOCAÇÃO (QGN-9356) DE 06/04/2026 A 12/04/2026 FA-11419</t>
  </si>
  <si>
    <t>FATURAMENTO DE LOCAÇÃO (RGE-3I66) DE 06/04/2026 A 12/04/2026 FA-11383</t>
  </si>
  <si>
    <t>JOZILDO TARQUINO DE BRITO</t>
  </si>
  <si>
    <t>FATURAMENTO DE LOCAÇÃO (QGW-2B89) DE 06/04/2026 A 12/04/2026 FA-10679</t>
  </si>
  <si>
    <t>LUCAS SANTOS REVOREDO DO NASCIMENTO</t>
  </si>
  <si>
    <t>FATURAMENTO DE LOCAÇÃO (ECZ-8C02) DE 30/03/2026 A 05/04/2026 FA-11189</t>
  </si>
  <si>
    <t>FATURAMENTO DE MULTAS DE 01/03/2026 A 31/03/2026 ND-11376</t>
  </si>
  <si>
    <t>FATURAMENTO DE LOCAÇÃO (RNC-4J20) DE 23/03/2026 A 29/03/2026 FA-11182</t>
  </si>
  <si>
    <t>MARCELO BENTO DE ARAUJO</t>
  </si>
  <si>
    <t>FATURAMENTO DE LOCAÇÃO (ECZ-8C02) DE 20/04/2026 A 26/04/2026 FA-11453</t>
  </si>
  <si>
    <t>FATURAMENTO DE LOCAÇÃO (ECZ-8C02) DE 23/03/2026 A 29/03/2026 FA-11187</t>
  </si>
  <si>
    <t>FATURAMENTO DE LOCAÇÃO (EVE-7G53) DE 20/04/2026 A 26/04/2026 FA-11424</t>
  </si>
  <si>
    <t>FATURAMENTO DE LOCAÇÃO (GIY-6G96) DE 20/04/2026 A 26/04/2026 FA-11455</t>
  </si>
  <si>
    <t>RAFAEL CAVALCANTI BARROS FERREIRA</t>
  </si>
  <si>
    <t>FATURAMENTO DE LOCAÇÃO (QGN-9356) DE 20/04/2026 A 26/04/2026 FA-11426</t>
  </si>
  <si>
    <t>FATURAMENTO DE LOCAÇÃO (QGQ-2837) DE 20/04/2026 A 26/04/2026 FA-11514</t>
  </si>
  <si>
    <t>FATURAMENTO DE LOCAÇÃO (QGS-6G16) DE 20/04/2026 A 26/04/2026 FA-11407</t>
  </si>
  <si>
    <t>FATURAMENTO DE LOCAÇÃO (QSE-8E63) DE 13/04/2026 A 19/04/2026 FA-11387</t>
  </si>
  <si>
    <t>FATURAMENTO DE LOCAÇÃO (QSE-8E63) DE 20/04/2026 A 26/04/2026 FA-11390</t>
  </si>
  <si>
    <t>FATURAMENTO DE LOCAÇÃO (QXL-1E71) DE 06/04/2026 A 12/04/2026 FA-11069</t>
  </si>
  <si>
    <t>FATURAMENTO DE LOCAÇÃO (QXL-1E71) DE 06/04/2026 A 12/04/2026 FA-11113</t>
  </si>
  <si>
    <t>FATURAMENTO DE LOCAÇÃO (QXL-1E71) DE 20/04/2026 A 26/04/2026 FA-11115</t>
  </si>
  <si>
    <t>FATURAMENTO DE LOCAÇÃO (RGE-7H03) DE 20/04/2026 A 26/04/2026 FA-11244</t>
  </si>
  <si>
    <t>FATURAMENTO DE LOCAÇÃO (RUC-8C45) DE 20/04/2026 A 26/04/2026 FA-11256</t>
  </si>
  <si>
    <t>FATURAMENTO DE REEMBOLSÁVEIS DE 01/03/2026 A 31/03/2026 ND-11305</t>
  </si>
  <si>
    <t>FATURAMENTO DE REEMBOLSÁVEIS DE 01/09/2025 A 30/09/2025 ND-10427</t>
  </si>
  <si>
    <t>RICARDO ARAUJO DE MIRANDA</t>
  </si>
  <si>
    <t>FATURAMENTO DE LOCAÇÃO (ELY-4D83) DE 21/04/2026 A 27/04/2026 FA-11361</t>
  </si>
  <si>
    <t>RAMON TALLES BARBALHO DE FRANÇA</t>
  </si>
  <si>
    <t>FATURAMENTO DE LOCAÇÃO (RNC-4J20) DE 30/03/2026 A 05/04/2026 FA-11183</t>
  </si>
  <si>
    <t>FATURAMENTO DE LOCAÇÃO (QGU-1H54) DE 20/04/2026 A 26/04/2026 FA-11346</t>
  </si>
  <si>
    <t>FATURAMENTO DE LOCAÇÃO (QGX-7353) DE 20/04/2026 A 26/04/2026 FA-11452</t>
  </si>
  <si>
    <t>YAGO ELIAS COSTA BATISTA</t>
  </si>
  <si>
    <t>FATURAMENTO DE LOCAÇÃO (END-0I15) DE 20/04/2026 A 26/04/2026 FA-11456</t>
  </si>
  <si>
    <t>FERNANDO RODRIGUES DO NASCIMENTO</t>
  </si>
  <si>
    <t>FATURAMENTO DE LOCAÇÃO (EXF-1F14) DE 20/04/2026 A 26/04/2026 FA-11497</t>
  </si>
  <si>
    <t>FATURAMENTO DE LOCAÇÃO (QGN-9356) DE 02/03/2026 A 08/03/2026 FA-11147</t>
  </si>
  <si>
    <t>FATURAMENTO DE LOCAÇÃO (QGN-9356) DE 23/03/2026 A 29/03/2026 FA-11153</t>
  </si>
  <si>
    <t>FATURAMENTO DE LOCAÇÃO (QXL-1E71) DE 23/03/2026 A 29/03/2026 FA-11111</t>
  </si>
  <si>
    <t>FATURAMENTO DE LOCAÇÃO (EJZ-3D41) DE 20/04/2026 A 26/04/2026 FA-11348</t>
  </si>
  <si>
    <t>ANDERSON QUEIROZ PINHEIRO</t>
  </si>
  <si>
    <t>FATURAMENTO DE LOCAÇÃO (QGT-9D76) DE 20/04/2026 A 26/04/2026 FA-11347</t>
  </si>
  <si>
    <t>MARIO EWERTON CANDIDO DE SOUZA</t>
  </si>
  <si>
    <t>FATURAMENTO DE LOCAÇÃO (RNC-4J20) DE 13/04/2026 A 19/04/2026 FA-11446</t>
  </si>
  <si>
    <t>FATURAMENTO DE MULTAS DE 01/03/2026 A 31/03/2026 ND-11232</t>
  </si>
  <si>
    <t>FATURAMENTO DE LOCAÇÃO (QGN-9356) DE 30/03/2026 A 05/04/2026 FA-11416</t>
  </si>
  <si>
    <t>FATURAMENTO DE LOCAÇÃO (RNC-4J20) DE 20/04/2026 A 26/04/2026 FA-11454</t>
  </si>
  <si>
    <t/>
  </si>
</sst>
</file>

<file path=xl/styles.xml><?xml version="1.0" encoding="utf-8"?>
<styleSheet xmlns="http://schemas.openxmlformats.org/spreadsheetml/2006/main">
  <numFmts count="2">
    <numFmt numFmtId="164" formatCode="_-R$ * #,##0.00_-;-R$ * #,##0.00_-;_-R$ * &quot; - &quot;??_-;_-@_-"/>
    <numFmt numFmtId="165" formatCode="dd/MM/yyyy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2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D60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79.32324981689453" customWidth="1" style="1"/>
    <col min="2" max="2" width="48.1286506652832" customWidth="1" style="1"/>
    <col min="3" max="3" width="15" customWidth="1" style="1"/>
    <col min="4" max="4" width="21.625028610229492" customWidth="1" style="1"/>
    <col min="5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</row>
    <row r="6" ht="23" customHeight="1">
      <c r="A6" s="6" t="s">
        <v>7</v>
      </c>
      <c r="B6" s="6" t="s">
        <v>8</v>
      </c>
      <c r="C6" s="7">
        <v>600</v>
      </c>
      <c r="D6" s="8">
        <v>45901</v>
      </c>
    </row>
    <row r="7" ht="23" customHeight="1">
      <c r="A7" s="6" t="s">
        <v>9</v>
      </c>
      <c r="B7" s="6" t="s">
        <v>10</v>
      </c>
      <c r="C7" s="7">
        <v>195.23</v>
      </c>
      <c r="D7" s="8">
        <v>46030</v>
      </c>
    </row>
    <row r="8" ht="23" customHeight="1">
      <c r="A8" s="6" t="s">
        <v>11</v>
      </c>
      <c r="B8" s="6" t="s">
        <v>12</v>
      </c>
      <c r="C8" s="7">
        <v>185.5</v>
      </c>
      <c r="D8" s="8">
        <v>46052</v>
      </c>
    </row>
    <row r="9" ht="23" customHeight="1">
      <c r="A9" s="6" t="s">
        <v>13</v>
      </c>
      <c r="B9" s="6" t="s">
        <v>14</v>
      </c>
      <c r="C9" s="7">
        <v>620</v>
      </c>
      <c r="D9" s="8">
        <v>46118</v>
      </c>
    </row>
    <row r="10" ht="23" customHeight="1">
      <c r="A10" s="6" t="s">
        <v>15</v>
      </c>
      <c r="B10" s="6" t="s">
        <v>16</v>
      </c>
      <c r="C10" s="7">
        <v>280</v>
      </c>
      <c r="D10" s="8">
        <v>46111</v>
      </c>
    </row>
    <row r="11" ht="23" customHeight="1">
      <c r="A11" s="6" t="s">
        <v>17</v>
      </c>
      <c r="B11" s="6" t="s">
        <v>18</v>
      </c>
      <c r="C11" s="7">
        <v>650</v>
      </c>
      <c r="D11" s="8">
        <v>46125</v>
      </c>
    </row>
    <row r="12" ht="23" customHeight="1">
      <c r="A12" s="6" t="s">
        <v>19</v>
      </c>
      <c r="B12" s="6" t="s">
        <v>20</v>
      </c>
      <c r="C12" s="7">
        <v>680</v>
      </c>
      <c r="D12" s="8">
        <v>46125</v>
      </c>
    </row>
    <row r="13" ht="23" customHeight="1">
      <c r="A13" s="6" t="s">
        <v>21</v>
      </c>
      <c r="B13" s="6" t="s">
        <v>20</v>
      </c>
      <c r="C13" s="7">
        <v>165.25</v>
      </c>
      <c r="D13" s="8">
        <v>46104</v>
      </c>
    </row>
    <row r="14" ht="23" customHeight="1">
      <c r="A14" s="6" t="s">
        <v>22</v>
      </c>
      <c r="B14" s="6" t="s">
        <v>23</v>
      </c>
      <c r="C14" s="7">
        <v>150</v>
      </c>
      <c r="D14" s="8">
        <v>46118</v>
      </c>
    </row>
    <row r="15" ht="23" customHeight="1">
      <c r="A15" s="6" t="s">
        <v>24</v>
      </c>
      <c r="B15" s="6" t="s">
        <v>23</v>
      </c>
      <c r="C15" s="7">
        <v>650</v>
      </c>
      <c r="D15" s="8">
        <v>46125</v>
      </c>
    </row>
    <row r="16" ht="23" customHeight="1">
      <c r="A16" s="6" t="s">
        <v>25</v>
      </c>
      <c r="B16" s="6" t="s">
        <v>26</v>
      </c>
      <c r="C16" s="7">
        <v>620</v>
      </c>
      <c r="D16" s="8">
        <v>46125</v>
      </c>
    </row>
    <row r="17" ht="23" customHeight="1">
      <c r="A17" s="6" t="s">
        <v>27</v>
      </c>
      <c r="B17" s="6" t="s">
        <v>28</v>
      </c>
      <c r="C17" s="7">
        <v>680</v>
      </c>
      <c r="D17" s="8">
        <v>46125</v>
      </c>
    </row>
    <row r="18" ht="23" customHeight="1">
      <c r="A18" s="6" t="s">
        <v>29</v>
      </c>
      <c r="B18" s="6" t="s">
        <v>30</v>
      </c>
      <c r="C18" s="7">
        <v>680</v>
      </c>
      <c r="D18" s="8">
        <v>46125</v>
      </c>
    </row>
    <row r="19" ht="23" customHeight="1">
      <c r="A19" s="6" t="s">
        <v>31</v>
      </c>
      <c r="B19" s="6" t="s">
        <v>32</v>
      </c>
      <c r="C19" s="7">
        <v>130</v>
      </c>
      <c r="D19" s="8">
        <v>45971</v>
      </c>
    </row>
    <row r="20" ht="23" customHeight="1">
      <c r="A20" s="6" t="s">
        <v>33</v>
      </c>
      <c r="B20" s="6" t="s">
        <v>34</v>
      </c>
      <c r="C20" s="7">
        <v>650</v>
      </c>
      <c r="D20" s="8">
        <v>46125</v>
      </c>
    </row>
    <row r="21" ht="23" customHeight="1">
      <c r="A21" s="6" t="s">
        <v>35</v>
      </c>
      <c r="B21" s="6" t="s">
        <v>16</v>
      </c>
      <c r="C21" s="7">
        <v>680</v>
      </c>
      <c r="D21" s="8">
        <v>46125</v>
      </c>
    </row>
    <row r="22" ht="23" customHeight="1">
      <c r="A22" s="6" t="s">
        <v>36</v>
      </c>
      <c r="B22" s="6" t="s">
        <v>26</v>
      </c>
      <c r="C22" s="7">
        <v>400</v>
      </c>
      <c r="D22" s="8">
        <v>46118</v>
      </c>
    </row>
    <row r="23" ht="23" customHeight="1">
      <c r="A23" s="6" t="s">
        <v>37</v>
      </c>
      <c r="B23" s="6" t="s">
        <v>38</v>
      </c>
      <c r="C23" s="7">
        <v>130.16</v>
      </c>
      <c r="D23" s="8">
        <v>46118</v>
      </c>
    </row>
    <row r="24" ht="23" customHeight="1">
      <c r="A24" s="6" t="s">
        <v>39</v>
      </c>
      <c r="B24" s="6" t="s">
        <v>40</v>
      </c>
      <c r="C24" s="7">
        <v>260</v>
      </c>
      <c r="D24" s="8">
        <v>46118</v>
      </c>
    </row>
    <row r="25" ht="23" customHeight="1">
      <c r="A25" s="6" t="s">
        <v>41</v>
      </c>
      <c r="B25" s="6" t="s">
        <v>18</v>
      </c>
      <c r="C25" s="7">
        <v>119.57</v>
      </c>
      <c r="D25" s="8">
        <v>46111</v>
      </c>
    </row>
    <row r="26" ht="23" customHeight="1">
      <c r="A26" s="6" t="s">
        <v>42</v>
      </c>
      <c r="B26" s="6" t="s">
        <v>32</v>
      </c>
      <c r="C26" s="7">
        <v>242.72</v>
      </c>
      <c r="D26" s="8">
        <v>46101</v>
      </c>
    </row>
    <row r="27" ht="23" customHeight="1">
      <c r="A27" s="6" t="s">
        <v>43</v>
      </c>
      <c r="B27" s="6" t="s">
        <v>44</v>
      </c>
      <c r="C27" s="7">
        <v>357.49</v>
      </c>
      <c r="D27" s="8">
        <v>46104</v>
      </c>
    </row>
    <row r="28" ht="23" customHeight="1">
      <c r="A28" s="6" t="s">
        <v>45</v>
      </c>
      <c r="B28" s="6" t="s">
        <v>18</v>
      </c>
      <c r="C28" s="7">
        <v>650</v>
      </c>
      <c r="D28" s="8">
        <v>46132</v>
      </c>
    </row>
    <row r="29" ht="23" customHeight="1">
      <c r="A29" s="6" t="s">
        <v>46</v>
      </c>
      <c r="B29" s="6" t="s">
        <v>18</v>
      </c>
      <c r="C29" s="7">
        <v>650</v>
      </c>
      <c r="D29" s="8">
        <v>46104</v>
      </c>
    </row>
    <row r="30" ht="23" customHeight="1">
      <c r="A30" s="6" t="s">
        <v>47</v>
      </c>
      <c r="B30" s="6" t="s">
        <v>20</v>
      </c>
      <c r="C30" s="7">
        <v>680</v>
      </c>
      <c r="D30" s="8">
        <v>46132</v>
      </c>
    </row>
    <row r="31" ht="23" customHeight="1">
      <c r="A31" s="6" t="s">
        <v>48</v>
      </c>
      <c r="B31" s="6" t="s">
        <v>49</v>
      </c>
      <c r="C31" s="7">
        <v>620</v>
      </c>
      <c r="D31" s="8">
        <v>46132</v>
      </c>
    </row>
    <row r="32" ht="23" customHeight="1">
      <c r="A32" s="6" t="s">
        <v>50</v>
      </c>
      <c r="B32" s="6" t="s">
        <v>26</v>
      </c>
      <c r="C32" s="7">
        <v>620</v>
      </c>
      <c r="D32" s="8">
        <v>46132</v>
      </c>
    </row>
    <row r="33" ht="23" customHeight="1">
      <c r="A33" s="6" t="s">
        <v>51</v>
      </c>
      <c r="B33" s="6" t="s">
        <v>28</v>
      </c>
      <c r="C33" s="7">
        <v>680</v>
      </c>
      <c r="D33" s="8">
        <v>46132</v>
      </c>
    </row>
    <row r="34" ht="23" customHeight="1">
      <c r="A34" s="6" t="s">
        <v>52</v>
      </c>
      <c r="B34" s="6" t="s">
        <v>30</v>
      </c>
      <c r="C34" s="7">
        <v>680</v>
      </c>
      <c r="D34" s="8">
        <v>46132</v>
      </c>
    </row>
    <row r="35" ht="23" customHeight="1">
      <c r="A35" s="6" t="s">
        <v>53</v>
      </c>
      <c r="B35" s="6" t="s">
        <v>32</v>
      </c>
      <c r="C35" s="7">
        <v>430</v>
      </c>
      <c r="D35" s="8">
        <v>46125</v>
      </c>
    </row>
    <row r="36" ht="23" customHeight="1">
      <c r="A36" s="6" t="s">
        <v>54</v>
      </c>
      <c r="B36" s="6" t="s">
        <v>32</v>
      </c>
      <c r="C36" s="7">
        <v>630</v>
      </c>
      <c r="D36" s="8">
        <v>46132</v>
      </c>
    </row>
    <row r="37" ht="23" customHeight="1">
      <c r="A37" s="6" t="s">
        <v>55</v>
      </c>
      <c r="B37" s="6" t="s">
        <v>28</v>
      </c>
      <c r="C37" s="7">
        <v>91.54</v>
      </c>
      <c r="D37" s="8">
        <v>46118</v>
      </c>
    </row>
    <row r="38" ht="23" customHeight="1">
      <c r="A38" s="6" t="s">
        <v>56</v>
      </c>
      <c r="B38" s="6" t="s">
        <v>34</v>
      </c>
      <c r="C38" s="7">
        <v>200</v>
      </c>
      <c r="D38" s="8">
        <v>46118</v>
      </c>
    </row>
    <row r="39" ht="23" customHeight="1">
      <c r="A39" s="6" t="s">
        <v>57</v>
      </c>
      <c r="B39" s="6" t="s">
        <v>34</v>
      </c>
      <c r="C39" s="7">
        <v>650</v>
      </c>
      <c r="D39" s="8">
        <v>46132</v>
      </c>
    </row>
    <row r="40" ht="23" customHeight="1">
      <c r="A40" s="6" t="s">
        <v>58</v>
      </c>
      <c r="B40" s="6" t="s">
        <v>14</v>
      </c>
      <c r="C40" s="7">
        <v>620</v>
      </c>
      <c r="D40" s="8">
        <v>46132</v>
      </c>
    </row>
    <row r="41" ht="23" customHeight="1">
      <c r="A41" s="6" t="s">
        <v>59</v>
      </c>
      <c r="B41" s="6" t="s">
        <v>16</v>
      </c>
      <c r="C41" s="7">
        <v>680</v>
      </c>
      <c r="D41" s="8">
        <v>46132</v>
      </c>
    </row>
    <row r="42" ht="23" customHeight="1">
      <c r="A42" s="6" t="s">
        <v>60</v>
      </c>
      <c r="B42" s="6" t="s">
        <v>44</v>
      </c>
      <c r="C42" s="7">
        <v>146.55</v>
      </c>
      <c r="D42" s="8">
        <v>46132</v>
      </c>
    </row>
    <row r="43" ht="23" customHeight="1">
      <c r="A43" s="6" t="s">
        <v>61</v>
      </c>
      <c r="B43" s="6" t="s">
        <v>62</v>
      </c>
      <c r="C43" s="7">
        <v>546</v>
      </c>
      <c r="D43" s="8">
        <v>45938</v>
      </c>
    </row>
    <row r="44" ht="23" customHeight="1">
      <c r="A44" s="6" t="s">
        <v>63</v>
      </c>
      <c r="B44" s="6" t="s">
        <v>64</v>
      </c>
      <c r="C44" s="7">
        <v>680</v>
      </c>
      <c r="D44" s="8">
        <v>46133</v>
      </c>
    </row>
    <row r="45" ht="23" customHeight="1">
      <c r="A45" s="6" t="s">
        <v>65</v>
      </c>
      <c r="B45" s="6" t="s">
        <v>44</v>
      </c>
      <c r="C45" s="7">
        <v>321.17</v>
      </c>
      <c r="D45" s="8">
        <v>46111</v>
      </c>
    </row>
    <row r="46" ht="23" customHeight="1">
      <c r="A46" s="6" t="s">
        <v>66</v>
      </c>
      <c r="B46" s="6" t="s">
        <v>62</v>
      </c>
      <c r="C46" s="7">
        <v>200</v>
      </c>
      <c r="D46" s="8">
        <v>46132</v>
      </c>
    </row>
    <row r="47" ht="23" customHeight="1">
      <c r="A47" s="6" t="s">
        <v>67</v>
      </c>
      <c r="B47" s="6" t="s">
        <v>68</v>
      </c>
      <c r="C47" s="7">
        <v>200</v>
      </c>
      <c r="D47" s="8">
        <v>46132</v>
      </c>
    </row>
    <row r="48" ht="23" customHeight="1">
      <c r="A48" s="6" t="s">
        <v>60</v>
      </c>
      <c r="B48" s="6" t="s">
        <v>44</v>
      </c>
      <c r="C48" s="7">
        <v>79.05</v>
      </c>
      <c r="D48" s="8">
        <v>46125</v>
      </c>
    </row>
    <row r="49" ht="23" customHeight="1">
      <c r="A49" s="6" t="s">
        <v>69</v>
      </c>
      <c r="B49" s="6" t="s">
        <v>70</v>
      </c>
      <c r="C49" s="7">
        <v>650</v>
      </c>
      <c r="D49" s="8">
        <v>46132</v>
      </c>
    </row>
    <row r="50" ht="23" customHeight="1">
      <c r="A50" s="6" t="s">
        <v>71</v>
      </c>
      <c r="B50" s="6" t="s">
        <v>23</v>
      </c>
      <c r="C50" s="7">
        <v>650</v>
      </c>
      <c r="D50" s="8">
        <v>46132</v>
      </c>
    </row>
    <row r="51" ht="23" customHeight="1">
      <c r="A51" s="6" t="s">
        <v>72</v>
      </c>
      <c r="B51" s="6" t="s">
        <v>26</v>
      </c>
      <c r="C51" s="7">
        <v>320</v>
      </c>
      <c r="D51" s="8">
        <v>46083</v>
      </c>
    </row>
    <row r="52" ht="23" customHeight="1">
      <c r="A52" s="6" t="s">
        <v>73</v>
      </c>
      <c r="B52" s="6" t="s">
        <v>26</v>
      </c>
      <c r="C52" s="7">
        <v>620</v>
      </c>
      <c r="D52" s="8">
        <v>46104</v>
      </c>
    </row>
    <row r="53" ht="23" customHeight="1">
      <c r="A53" s="6" t="s">
        <v>74</v>
      </c>
      <c r="B53" s="6" t="s">
        <v>34</v>
      </c>
      <c r="C53" s="7">
        <v>650</v>
      </c>
      <c r="D53" s="8">
        <v>46104</v>
      </c>
    </row>
    <row r="54" ht="23" customHeight="1">
      <c r="A54" s="6" t="s">
        <v>75</v>
      </c>
      <c r="B54" s="6" t="s">
        <v>76</v>
      </c>
      <c r="C54" s="7">
        <v>110.69</v>
      </c>
      <c r="D54" s="8">
        <v>46132</v>
      </c>
    </row>
    <row r="55" ht="23" customHeight="1">
      <c r="A55" s="6" t="s">
        <v>77</v>
      </c>
      <c r="B55" s="6" t="s">
        <v>78</v>
      </c>
      <c r="C55" s="7">
        <v>124.25</v>
      </c>
      <c r="D55" s="8">
        <v>46132</v>
      </c>
    </row>
    <row r="56" ht="23" customHeight="1">
      <c r="A56" s="6" t="s">
        <v>79</v>
      </c>
      <c r="B56" s="6" t="s">
        <v>44</v>
      </c>
      <c r="C56" s="7">
        <v>408.24</v>
      </c>
      <c r="D56" s="8">
        <v>46125</v>
      </c>
    </row>
    <row r="57" ht="23" customHeight="1">
      <c r="A57" s="6" t="s">
        <v>80</v>
      </c>
      <c r="B57" s="6" t="s">
        <v>20</v>
      </c>
      <c r="C57" s="7">
        <v>373.96</v>
      </c>
      <c r="D57" s="8">
        <v>46101</v>
      </c>
    </row>
    <row r="58" ht="23" customHeight="1">
      <c r="A58" s="6" t="s">
        <v>81</v>
      </c>
      <c r="B58" s="6" t="s">
        <v>26</v>
      </c>
      <c r="C58" s="7">
        <v>620</v>
      </c>
      <c r="D58" s="8">
        <v>46111</v>
      </c>
    </row>
    <row r="59" ht="23" customHeight="1">
      <c r="A59" s="6" t="s">
        <v>82</v>
      </c>
      <c r="B59" s="6" t="s">
        <v>44</v>
      </c>
      <c r="C59" s="7">
        <v>680</v>
      </c>
      <c r="D59" s="8">
        <v>46132</v>
      </c>
    </row>
    <row r="60" ht="23" customHeight="1">
      <c r="A60" s="9" t="s">
        <v>83</v>
      </c>
      <c r="B60" s="9" t="s">
        <v>83</v>
      </c>
      <c r="C60" s="10">
        <f>SUM(C6:C59)</f>
      </c>
      <c r="D60" s="11" t="s">
        <v>83</v>
      </c>
    </row>
  </sheetData>
  <autoFilter ref="A5:D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