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rol/Documents/Dashboard-Ativuz/planilhas/"/>
    </mc:Choice>
  </mc:AlternateContent>
  <xr:revisionPtr revIDLastSave="0" documentId="13_ncr:1_{6B5C8850-C08F-9F43-9D2F-C17B47D65B72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Resumo Executivo" sheetId="1" r:id="rId1"/>
    <sheet name="Detalhamento por Cliente" sheetId="2" r:id="rId2"/>
    <sheet name="Análise por Eta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H5" i="1"/>
  <c r="E16" i="3"/>
  <c r="D16" i="3"/>
  <c r="F14" i="3"/>
  <c r="F13" i="3"/>
  <c r="F12" i="3"/>
  <c r="F11" i="3"/>
  <c r="F10" i="3"/>
  <c r="F9" i="3"/>
  <c r="F8" i="3"/>
  <c r="F7" i="3"/>
  <c r="F6" i="3"/>
  <c r="F16" i="3" s="1"/>
  <c r="G75" i="2"/>
  <c r="F75" i="2"/>
  <c r="H9" i="2"/>
  <c r="H8" i="2"/>
  <c r="H7" i="2"/>
  <c r="H6" i="2"/>
  <c r="I79" i="1"/>
  <c r="H79" i="1"/>
  <c r="F79" i="1"/>
  <c r="E5" i="1"/>
  <c r="C5" i="1"/>
  <c r="H75" i="2" l="1"/>
</calcChain>
</file>

<file path=xl/sharedStrings.xml><?xml version="1.0" encoding="utf-8"?>
<sst xmlns="http://schemas.openxmlformats.org/spreadsheetml/2006/main" count="67" uniqueCount="40">
  <si>
    <t>RELATÓRIO DE INADIMPLÊNCIA</t>
  </si>
  <si>
    <t>ATIVUZ VEÍCULOS  ·  Gerado em: 14/05/2026</t>
  </si>
  <si>
    <t>CLIENTES EM ATRASO</t>
  </si>
  <si>
    <t>VALOR ORIGINAL TOTAL</t>
  </si>
  <si>
    <t>TOTAL DE JUROS</t>
  </si>
  <si>
    <t>TOTAL ATUALIZADO</t>
  </si>
  <si>
    <t>CLIENTE</t>
  </si>
  <si>
    <t>ETAPA</t>
  </si>
  <si>
    <t>VENCIMENTO</t>
  </si>
  <si>
    <t>ATRASO
(dias)</t>
  </si>
  <si>
    <t>VALOR ORIGINAL</t>
  </si>
  <si>
    <t>JUROS MORA</t>
  </si>
  <si>
    <t>RICARDO ARAUJO DE MIRANDA</t>
  </si>
  <si>
    <t>D+15</t>
  </si>
  <si>
    <t>08/10/2025</t>
  </si>
  <si>
    <t>LEONARDO GOMES DO NASCIMENTO</t>
  </si>
  <si>
    <t>30/03/2026</t>
  </si>
  <si>
    <t>NOME DO CLIENTE 3</t>
  </si>
  <si>
    <t>D+10</t>
  </si>
  <si>
    <t>15/02/2026</t>
  </si>
  <si>
    <t>NOME DO CLIENTE 4</t>
  </si>
  <si>
    <t>D+7</t>
  </si>
  <si>
    <t>20/01/2026</t>
  </si>
  <si>
    <t>NOME DO CLIENTE 5</t>
  </si>
  <si>
    <t>D+5</t>
  </si>
  <si>
    <t>10/04/2026</t>
  </si>
  <si>
    <t>TOTAIS</t>
  </si>
  <si>
    <t>LEGENDA DE CORES — Atraso: ■ Vermelho ≥180 dias   ■ Laranja 60-179 dias   ■ Amarelo &lt;60 dias   |   Valor: ■ Azul = Original   ■ Vermelho = Juros   ■ Verde = Total</t>
  </si>
  <si>
    <t>DETALHAMENTO POR CLIENTE — COBRANÇAS EM ABERTO</t>
  </si>
  <si>
    <t>DIAS EM ATRASO</t>
  </si>
  <si>
    <t>JUROS MORA (0,5%/dia)</t>
  </si>
  <si>
    <t>TOTAL GERAL</t>
  </si>
  <si>
    <t>ANÁLISE POR ETAPA DE COBRANÇA</t>
  </si>
  <si>
    <t>Nº CLIENTES</t>
  </si>
  <si>
    <t>D+0</t>
  </si>
  <si>
    <t>D+1</t>
  </si>
  <si>
    <t>D+2</t>
  </si>
  <si>
    <t>D+3</t>
  </si>
  <si>
    <t>D+4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</si>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</sst>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"/>
  </numFmts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0"/>
      <color rgb="FFAAAAAA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2C3E50"/>
      <name val="Arial"/>
      <family val="2"/>
    </font>
    <font>
      <sz val="9"/>
      <name val="Arial"/>
      <family val="2"/>
    </font>
    <font>
      <b/>
      <sz val="9"/>
      <color rgb="FF2E86C1"/>
      <name val="Arial"/>
      <family val="2"/>
    </font>
    <font>
      <b/>
      <sz val="9"/>
      <color rgb="FFC0392B"/>
      <name val="Arial"/>
      <family val="2"/>
    </font>
    <font>
      <b/>
      <sz val="9"/>
      <color rgb="FF1E8449"/>
      <name val="Arial"/>
      <family val="2"/>
    </font>
    <font>
      <b/>
      <sz val="10"/>
      <color rgb="FFFFFFFF"/>
      <name val="Arial"/>
      <family val="2"/>
    </font>
    <font>
      <i/>
      <sz val="8"/>
      <color rgb="FF7F8C8D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20"/>
      <color rgb="FFFFFFFF"/>
      <name val="Arial"/>
      <family val="2"/>
    </font>
    <font>
      <sz val="10"/>
      <color rgb="FFAAAAAA"/>
      <name val="Arial"/>
      <family val="2"/>
    </font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2340"/>
      </patternFill>
    </fill>
    <fill>
      <patternFill patternType="solid">
        <fgColor rgb="FF1A5276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2ECC71"/>
      </patternFill>
    </fill>
    <fill>
      <patternFill patternType="solid">
        <fgColor rgb="FFF1C40F"/>
      </patternFill>
    </fill>
    <fill>
      <patternFill patternType="solid">
        <fgColor rgb="FFE74C3C"/>
      </patternFill>
    </fill>
    <fill>
      <patternFill patternType="solid">
        <fgColor rgb="FF922B21"/>
      </patternFill>
    </fill>
    <fill>
      <patternFill patternType="solid">
        <fgColor rgb="FF7B241C"/>
      </patternFill>
    </fill>
    <fill>
      <patternFill patternType="solid">
        <fgColor rgb="FF641E16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/>
      <right style="thin">
        <color rgb="FFBDBDBD"/>
      </right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BDBDBD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DBDBD"/>
      </top>
      <bottom style="thin">
        <color theme="0" tint="-0.249977111117893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DBDBD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DBDBD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DBDBD"/>
      </left>
      <right/>
      <top/>
      <bottom style="thin">
        <color theme="0" tint="-0.249977111117893"/>
      </bottom>
      <diagonal/>
    </border>
    <border>
      <left/>
      <right style="thin">
        <color rgb="FFBDBDBD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BDBDBD"/>
      </left>
      <right style="thin">
        <color theme="0" tint="-0.249977111117893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theme="0" tint="-0.249977111117893"/>
      </top>
      <bottom/>
      <diagonal/>
    </border>
    <border>
      <left/>
      <right style="thin">
        <color rgb="FFBDBDBD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A3A5C"/>
      </right>
      <top style="thin">
        <color theme="0" tint="-0.249977111117893"/>
      </top>
      <bottom style="medium">
        <color rgb="FF1A3A5C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rgb="FF1A3A5C"/>
      </right>
      <top style="thin">
        <color theme="0" tint="-0.249977111117893"/>
      </top>
      <bottom/>
      <diagonal/>
    </border>
    <border>
      <left style="medium">
        <color rgb="FF1A3A5C"/>
      </left>
      <right/>
      <top style="thin">
        <color theme="0" tint="-0.249977111117893"/>
      </top>
      <bottom/>
      <diagonal/>
    </border>
    <border>
      <left style="medium">
        <color rgb="FF1A3A5C"/>
      </left>
      <right style="medium">
        <color rgb="FF1A3A5C"/>
      </right>
      <top style="thin">
        <color theme="0" tint="-0.249977111117893"/>
      </top>
      <bottom style="medium">
        <color rgb="FF1A3A5C"/>
      </bottom>
      <diagonal/>
    </border>
    <border>
      <left style="medium">
        <color rgb="FF1A3A5C"/>
      </left>
      <right style="thin">
        <color theme="0" tint="-0.249977111117893"/>
      </right>
      <top style="thin">
        <color theme="0" tint="-0.249977111117893"/>
      </top>
      <bottom style="medium">
        <color rgb="FF1A3A5C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rgb="FFBDBDBD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120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right" vertical="center"/>
    </xf>
    <xf numFmtId="164" fontId="8" fillId="10" borderId="2" xfId="0" applyNumberFormat="1" applyFont="1" applyFill="1" applyBorder="1" applyAlignment="1">
      <alignment horizontal="right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13" borderId="2" xfId="0" applyFill="1" applyBorder="1"/>
    <xf numFmtId="0" fontId="0" fillId="8" borderId="2" xfId="0" applyFill="1" applyBorder="1"/>
    <xf numFmtId="164" fontId="10" fillId="2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vertical="center"/>
    </xf>
    <xf numFmtId="0" fontId="10" fillId="1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13" borderId="5" xfId="0" applyFill="1" applyBorder="1"/>
    <xf numFmtId="0" fontId="0" fillId="8" borderId="5" xfId="0" applyFill="1" applyBorder="1"/>
    <xf numFmtId="0" fontId="0" fillId="8" borderId="6" xfId="0" applyFill="1" applyBorder="1"/>
    <xf numFmtId="0" fontId="0" fillId="13" borderId="6" xfId="0" applyFill="1" applyBorder="1"/>
    <xf numFmtId="0" fontId="0" fillId="13" borderId="8" xfId="0" applyFill="1" applyBorder="1"/>
    <xf numFmtId="0" fontId="0" fillId="13" borderId="9" xfId="0" applyFill="1" applyBorder="1"/>
    <xf numFmtId="0" fontId="0" fillId="8" borderId="10" xfId="0" applyFill="1" applyBorder="1"/>
    <xf numFmtId="0" fontId="0" fillId="13" borderId="11" xfId="0" applyFill="1" applyBorder="1"/>
    <xf numFmtId="0" fontId="0" fillId="8" borderId="11" xfId="0" applyFill="1" applyBorder="1"/>
    <xf numFmtId="0" fontId="0" fillId="0" borderId="24" xfId="0" applyBorder="1"/>
    <xf numFmtId="0" fontId="0" fillId="13" borderId="25" xfId="0" applyFill="1" applyBorder="1"/>
    <xf numFmtId="0" fontId="0" fillId="8" borderId="25" xfId="0" applyFill="1" applyBorder="1"/>
    <xf numFmtId="0" fontId="4" fillId="6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vertical="center"/>
    </xf>
    <xf numFmtId="0" fontId="5" fillId="13" borderId="6" xfId="0" applyFont="1" applyFill="1" applyBorder="1" applyAlignment="1">
      <alignment vertical="center"/>
    </xf>
    <xf numFmtId="0" fontId="0" fillId="0" borderId="15" xfId="0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14" xfId="0" applyBorder="1"/>
    <xf numFmtId="164" fontId="10" fillId="2" borderId="32" xfId="0" applyNumberFormat="1" applyFont="1" applyFill="1" applyBorder="1" applyAlignment="1">
      <alignment horizontal="right" vertical="center"/>
    </xf>
    <xf numFmtId="164" fontId="10" fillId="2" borderId="33" xfId="0" applyNumberFormat="1" applyFont="1" applyFill="1" applyBorder="1" applyAlignment="1">
      <alignment horizontal="right" vertical="center"/>
    </xf>
    <xf numFmtId="0" fontId="4" fillId="21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vertical="center"/>
    </xf>
    <xf numFmtId="0" fontId="6" fillId="21" borderId="2" xfId="0" applyFont="1" applyFill="1" applyBorder="1" applyAlignment="1">
      <alignment horizontal="center" vertical="center"/>
    </xf>
    <xf numFmtId="44" fontId="8" fillId="10" borderId="2" xfId="1" applyFont="1" applyFill="1" applyBorder="1" applyAlignment="1">
      <alignment horizontal="right" vertical="center"/>
    </xf>
    <xf numFmtId="44" fontId="9" fillId="11" borderId="25" xfId="1" applyFont="1" applyFill="1" applyBorder="1" applyAlignment="1">
      <alignment horizontal="right" vertical="center"/>
    </xf>
    <xf numFmtId="44" fontId="8" fillId="10" borderId="6" xfId="1" applyFont="1" applyFill="1" applyBorder="1" applyAlignment="1">
      <alignment horizontal="right" vertical="center"/>
    </xf>
    <xf numFmtId="44" fontId="7" fillId="9" borderId="2" xfId="1" applyFont="1" applyFill="1" applyBorder="1" applyAlignment="1">
      <alignment horizontal="right" vertical="center"/>
    </xf>
    <xf numFmtId="44" fontId="9" fillId="11" borderId="2" xfId="1" applyFont="1" applyFill="1" applyBorder="1" applyAlignment="1">
      <alignment horizontal="right" vertical="center"/>
    </xf>
    <xf numFmtId="0" fontId="0" fillId="13" borderId="18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35" xfId="0" applyFill="1" applyBorder="1"/>
    <xf numFmtId="0" fontId="0" fillId="13" borderId="7" xfId="0" applyFill="1" applyBorder="1"/>
    <xf numFmtId="0" fontId="0" fillId="8" borderId="36" xfId="0" applyFill="1" applyBorder="1"/>
    <xf numFmtId="0" fontId="0" fillId="13" borderId="34" xfId="0" applyFill="1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0" fillId="2" borderId="28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4" fillId="5" borderId="0" xfId="0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64" fontId="14" fillId="7" borderId="3" xfId="0" applyNumberFormat="1" applyFont="1" applyFill="1" applyBorder="1" applyAlignment="1">
      <alignment horizontal="center" vertical="center"/>
    </xf>
    <xf numFmtId="164" fontId="14" fillId="7" borderId="0" xfId="0" applyNumberFormat="1" applyFont="1" applyFill="1" applyAlignment="1">
      <alignment horizontal="center" vertical="center"/>
    </xf>
    <xf numFmtId="44" fontId="7" fillId="9" borderId="26" xfId="1" applyFont="1" applyFill="1" applyBorder="1" applyAlignment="1">
      <alignment horizontal="center" vertical="center"/>
    </xf>
    <xf numFmtId="44" fontId="7" fillId="9" borderId="27" xfId="1" applyFont="1" applyFill="1" applyBorder="1" applyAlignment="1">
      <alignment horizontal="center" vertical="center"/>
    </xf>
    <xf numFmtId="44" fontId="7" fillId="9" borderId="18" xfId="1" applyFont="1" applyFill="1" applyBorder="1" applyAlignment="1">
      <alignment horizontal="center" vertical="center"/>
    </xf>
    <xf numFmtId="44" fontId="7" fillId="9" borderId="19" xfId="1" applyFont="1" applyFill="1" applyBorder="1" applyAlignment="1">
      <alignment horizontal="center" vertical="center"/>
    </xf>
    <xf numFmtId="44" fontId="7" fillId="9" borderId="12" xfId="1" applyFont="1" applyFill="1" applyBorder="1" applyAlignment="1">
      <alignment horizontal="center" vertical="center"/>
    </xf>
    <xf numFmtId="44" fontId="7" fillId="9" borderId="13" xfId="1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64" fontId="14" fillId="6" borderId="3" xfId="0" applyNumberFormat="1" applyFont="1" applyFill="1" applyBorder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164" fontId="14" fillId="6" borderId="4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164" fontId="10" fillId="2" borderId="31" xfId="0" applyNumberFormat="1" applyFont="1" applyFill="1" applyBorder="1" applyAlignment="1">
      <alignment horizontal="center" vertical="center"/>
    </xf>
    <xf numFmtId="164" fontId="10" fillId="2" borderId="3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showGridLines="0" tabSelected="1" topLeftCell="B1" zoomScale="124" zoomScaleNormal="124" workbookViewId="0">
      <pane ySplit="6" topLeftCell="A7" activePane="bottomLeft" state="frozen"/>
      <selection pane="bottomLeft" activeCell="F76" sqref="F76:G76"/>
    </sheetView>
  </sheetViews>
  <sheetFormatPr baseColWidth="10" defaultColWidth="8.83203125" defaultRowHeight="15" x14ac:dyDescent="0.2"/>
  <cols>
    <col min="2" max="2" width="40.6640625" customWidth="1"/>
    <col min="3" max="3" width="24.33203125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29.6640625" customWidth="1"/>
  </cols>
  <sheetData>
    <row r="1" spans="1:9" ht="8" customHeight="1" x14ac:dyDescent="0.2">
      <c r="A1" s="44"/>
    </row>
    <row r="2" spans="1:9" ht="40" customHeight="1" x14ac:dyDescent="0.2">
      <c r="A2" s="44"/>
      <c r="B2" s="86" t="s">
        <v>0</v>
      </c>
      <c r="C2" s="87"/>
      <c r="D2" s="87"/>
      <c r="E2" s="87"/>
      <c r="F2" s="87"/>
      <c r="G2" s="87"/>
      <c r="H2" s="87"/>
      <c r="I2" s="87"/>
    </row>
    <row r="3" spans="1:9" ht="20" customHeight="1" x14ac:dyDescent="0.2">
      <c r="A3" s="44"/>
      <c r="B3" s="88" t="s">
        <v>1</v>
      </c>
      <c r="C3" s="89"/>
      <c r="D3" s="89"/>
      <c r="E3" s="89"/>
      <c r="F3" s="89"/>
      <c r="G3" s="89"/>
      <c r="H3" s="89"/>
      <c r="I3" s="89"/>
    </row>
    <row r="4" spans="1:9" ht="25" customHeight="1" x14ac:dyDescent="0.2">
      <c r="A4" s="44"/>
      <c r="B4" s="25" t="s">
        <v>2</v>
      </c>
      <c r="C4" s="68" t="s">
        <v>3</v>
      </c>
      <c r="D4" s="68"/>
      <c r="E4" s="90" t="s">
        <v>4</v>
      </c>
      <c r="F4" s="91"/>
      <c r="G4" s="92"/>
      <c r="H4" s="70" t="s">
        <v>5</v>
      </c>
      <c r="I4" s="71"/>
    </row>
    <row r="5" spans="1:9" ht="25" customHeight="1" x14ac:dyDescent="0.2">
      <c r="A5" s="44"/>
      <c r="B5" s="26">
        <f>COUNTA(C9:C78)</f>
        <v>5</v>
      </c>
      <c r="C5" s="69">
        <f>SUM(E9:E78)</f>
        <v>498</v>
      </c>
      <c r="D5" s="69"/>
      <c r="E5" s="93">
        <f>SUM(H9:H78)</f>
        <v>1031.3</v>
      </c>
      <c r="F5" s="94"/>
      <c r="G5" s="95"/>
      <c r="H5" s="72">
        <f>SUM(I9:I78)</f>
        <v>3291.3</v>
      </c>
      <c r="I5" s="73"/>
    </row>
    <row r="6" spans="1:9" ht="10" customHeight="1" x14ac:dyDescent="0.2">
      <c r="A6" s="44"/>
    </row>
    <row r="7" spans="1:9" ht="30" customHeight="1" x14ac:dyDescent="0.2">
      <c r="A7" s="44"/>
      <c r="B7" s="45" t="s">
        <v>6</v>
      </c>
      <c r="C7" s="3" t="s">
        <v>7</v>
      </c>
      <c r="D7" s="3" t="s">
        <v>8</v>
      </c>
      <c r="E7" s="3" t="s">
        <v>9</v>
      </c>
      <c r="F7" s="96" t="s">
        <v>10</v>
      </c>
      <c r="G7" s="97"/>
      <c r="H7" s="3" t="s">
        <v>11</v>
      </c>
      <c r="I7" s="27" t="s">
        <v>5</v>
      </c>
    </row>
    <row r="8" spans="1:9" ht="18" customHeight="1" x14ac:dyDescent="0.2">
      <c r="A8" s="44"/>
      <c r="F8" s="37"/>
      <c r="G8" s="37"/>
    </row>
    <row r="9" spans="1:9" ht="22" customHeight="1" x14ac:dyDescent="0.2">
      <c r="A9" s="44"/>
      <c r="B9" s="42" t="s">
        <v>12</v>
      </c>
      <c r="C9" s="1" t="s">
        <v>13</v>
      </c>
      <c r="D9" s="4" t="s">
        <v>14</v>
      </c>
      <c r="E9" s="1">
        <v>218</v>
      </c>
      <c r="F9" s="74">
        <v>30</v>
      </c>
      <c r="G9" s="75"/>
      <c r="H9" s="52">
        <v>32.700000000000003</v>
      </c>
      <c r="I9" s="53">
        <v>62.7</v>
      </c>
    </row>
    <row r="10" spans="1:9" ht="22" customHeight="1" x14ac:dyDescent="0.2">
      <c r="A10" s="44"/>
      <c r="B10" s="43" t="s">
        <v>15</v>
      </c>
      <c r="C10" s="1" t="s">
        <v>13</v>
      </c>
      <c r="D10" s="8" t="s">
        <v>16</v>
      </c>
      <c r="E10" s="41">
        <v>45</v>
      </c>
      <c r="F10" s="76">
        <v>180</v>
      </c>
      <c r="G10" s="77"/>
      <c r="H10" s="54">
        <v>40.5</v>
      </c>
      <c r="I10" s="53">
        <v>220.5</v>
      </c>
    </row>
    <row r="11" spans="1:9" ht="22" customHeight="1" x14ac:dyDescent="0.2">
      <c r="A11" s="44"/>
      <c r="B11" s="42" t="s">
        <v>17</v>
      </c>
      <c r="C11" s="1" t="s">
        <v>18</v>
      </c>
      <c r="D11" s="4" t="s">
        <v>19</v>
      </c>
      <c r="E11" s="40">
        <v>88</v>
      </c>
      <c r="F11" s="78">
        <v>500</v>
      </c>
      <c r="G11" s="79"/>
      <c r="H11" s="54">
        <v>220</v>
      </c>
      <c r="I11" s="53">
        <v>720</v>
      </c>
    </row>
    <row r="12" spans="1:9" ht="22" customHeight="1" x14ac:dyDescent="0.2">
      <c r="A12" s="44"/>
      <c r="B12" s="43" t="s">
        <v>20</v>
      </c>
      <c r="C12" s="1" t="s">
        <v>21</v>
      </c>
      <c r="D12" s="8" t="s">
        <v>22</v>
      </c>
      <c r="E12" s="40">
        <v>113</v>
      </c>
      <c r="F12" s="78">
        <v>1200</v>
      </c>
      <c r="G12" s="79"/>
      <c r="H12" s="54">
        <v>678.6</v>
      </c>
      <c r="I12" s="53">
        <v>1878.6</v>
      </c>
    </row>
    <row r="13" spans="1:9" ht="22" customHeight="1" x14ac:dyDescent="0.2">
      <c r="A13" s="44"/>
      <c r="B13" s="42" t="s">
        <v>23</v>
      </c>
      <c r="C13" s="1" t="s">
        <v>24</v>
      </c>
      <c r="D13" s="4" t="s">
        <v>25</v>
      </c>
      <c r="E13" s="41">
        <v>34</v>
      </c>
      <c r="F13" s="76">
        <v>350</v>
      </c>
      <c r="G13" s="77"/>
      <c r="H13" s="54">
        <v>59.5</v>
      </c>
      <c r="I13" s="53">
        <v>409.5</v>
      </c>
    </row>
    <row r="14" spans="1:9" ht="18" customHeight="1" x14ac:dyDescent="0.2">
      <c r="A14" s="44"/>
      <c r="B14" s="31"/>
      <c r="C14" s="10"/>
      <c r="D14" s="10"/>
      <c r="E14" s="28"/>
      <c r="F14" s="80"/>
      <c r="G14" s="81"/>
      <c r="H14" s="31"/>
      <c r="I14" s="38"/>
    </row>
    <row r="15" spans="1:9" ht="18" customHeight="1" x14ac:dyDescent="0.2">
      <c r="A15" s="44"/>
      <c r="B15" s="30"/>
      <c r="C15" s="11"/>
      <c r="D15" s="11"/>
      <c r="E15" s="29"/>
      <c r="F15" s="82"/>
      <c r="G15" s="83"/>
      <c r="H15" s="30"/>
      <c r="I15" s="39"/>
    </row>
    <row r="16" spans="1:9" ht="18" customHeight="1" x14ac:dyDescent="0.2">
      <c r="A16" s="44"/>
      <c r="B16" s="31"/>
      <c r="C16" s="10"/>
      <c r="D16" s="10"/>
      <c r="E16" s="28"/>
      <c r="F16" s="84"/>
      <c r="G16" s="85"/>
      <c r="H16" s="31"/>
      <c r="I16" s="38"/>
    </row>
    <row r="17" spans="1:9" ht="18" customHeight="1" x14ac:dyDescent="0.2">
      <c r="A17" s="44"/>
      <c r="B17" s="30"/>
      <c r="C17" s="11"/>
      <c r="D17" s="11"/>
      <c r="E17" s="29"/>
      <c r="F17" s="82"/>
      <c r="G17" s="83"/>
      <c r="H17" s="30"/>
      <c r="I17" s="39"/>
    </row>
    <row r="18" spans="1:9" ht="18" customHeight="1" x14ac:dyDescent="0.2">
      <c r="A18" s="44"/>
      <c r="B18" s="31"/>
      <c r="C18" s="10"/>
      <c r="D18" s="10"/>
      <c r="E18" s="28"/>
      <c r="F18" s="84"/>
      <c r="G18" s="85"/>
      <c r="H18" s="31"/>
      <c r="I18" s="38"/>
    </row>
    <row r="19" spans="1:9" ht="18" customHeight="1" x14ac:dyDescent="0.2">
      <c r="A19" s="44"/>
      <c r="B19" s="30"/>
      <c r="C19" s="11"/>
      <c r="D19" s="11"/>
      <c r="E19" s="11"/>
      <c r="F19" s="98"/>
      <c r="G19" s="99"/>
      <c r="H19" s="11"/>
      <c r="I19" s="39"/>
    </row>
    <row r="20" spans="1:9" ht="18" customHeight="1" x14ac:dyDescent="0.2">
      <c r="A20" s="44"/>
      <c r="B20" s="31"/>
      <c r="C20" s="10"/>
      <c r="D20" s="10"/>
      <c r="E20" s="28"/>
      <c r="F20" s="84"/>
      <c r="G20" s="85"/>
      <c r="H20" s="31"/>
      <c r="I20" s="38"/>
    </row>
    <row r="21" spans="1:9" ht="18" customHeight="1" x14ac:dyDescent="0.2">
      <c r="A21" s="44"/>
      <c r="B21" s="30"/>
      <c r="C21" s="11"/>
      <c r="D21" s="11"/>
      <c r="E21" s="29"/>
      <c r="F21" s="82"/>
      <c r="G21" s="83"/>
      <c r="H21" s="30"/>
      <c r="I21" s="39"/>
    </row>
    <row r="22" spans="1:9" ht="18" customHeight="1" x14ac:dyDescent="0.2">
      <c r="A22" s="44"/>
      <c r="B22" s="31"/>
      <c r="C22" s="10"/>
      <c r="D22" s="10"/>
      <c r="E22" s="28"/>
      <c r="F22" s="84"/>
      <c r="G22" s="85"/>
      <c r="H22" s="31"/>
      <c r="I22" s="38"/>
    </row>
    <row r="23" spans="1:9" ht="18" customHeight="1" x14ac:dyDescent="0.2">
      <c r="A23" s="44"/>
      <c r="B23" s="30"/>
      <c r="C23" s="11"/>
      <c r="D23" s="11"/>
      <c r="E23" s="29"/>
      <c r="F23" s="82"/>
      <c r="G23" s="83"/>
      <c r="H23" s="30"/>
      <c r="I23" s="39"/>
    </row>
    <row r="24" spans="1:9" ht="18" customHeight="1" x14ac:dyDescent="0.2">
      <c r="A24" s="44"/>
      <c r="B24" s="31"/>
      <c r="C24" s="10"/>
      <c r="D24" s="10"/>
      <c r="E24" s="28"/>
      <c r="F24" s="84"/>
      <c r="G24" s="85"/>
      <c r="H24" s="31"/>
      <c r="I24" s="38"/>
    </row>
    <row r="25" spans="1:9" ht="18" customHeight="1" x14ac:dyDescent="0.2">
      <c r="A25" s="44"/>
      <c r="B25" s="30"/>
      <c r="C25" s="11"/>
      <c r="D25" s="11"/>
      <c r="E25" s="11"/>
      <c r="F25" s="98"/>
      <c r="G25" s="99"/>
      <c r="H25" s="11"/>
      <c r="I25" s="39"/>
    </row>
    <row r="26" spans="1:9" ht="18" customHeight="1" x14ac:dyDescent="0.2">
      <c r="A26" s="44"/>
      <c r="B26" s="31"/>
      <c r="C26" s="10"/>
      <c r="D26" s="10"/>
      <c r="E26" s="28"/>
      <c r="F26" s="80"/>
      <c r="G26" s="81"/>
      <c r="H26" s="31"/>
      <c r="I26" s="38"/>
    </row>
    <row r="27" spans="1:9" ht="18" customHeight="1" x14ac:dyDescent="0.2">
      <c r="A27" s="44"/>
      <c r="B27" s="30"/>
      <c r="C27" s="11"/>
      <c r="D27" s="11"/>
      <c r="E27" s="29"/>
      <c r="F27" s="82"/>
      <c r="G27" s="83"/>
      <c r="H27" s="30"/>
      <c r="I27" s="39"/>
    </row>
    <row r="28" spans="1:9" ht="18" customHeight="1" x14ac:dyDescent="0.2">
      <c r="A28" s="44"/>
      <c r="B28" s="31"/>
      <c r="C28" s="10"/>
      <c r="D28" s="10"/>
      <c r="E28" s="10"/>
      <c r="F28" s="100"/>
      <c r="G28" s="101"/>
      <c r="H28" s="10"/>
      <c r="I28" s="38"/>
    </row>
    <row r="29" spans="1:9" ht="18" customHeight="1" x14ac:dyDescent="0.2">
      <c r="A29" s="44"/>
      <c r="B29" s="30"/>
      <c r="C29" s="11"/>
      <c r="D29" s="11"/>
      <c r="E29" s="11"/>
      <c r="F29" s="102"/>
      <c r="G29" s="103"/>
      <c r="H29" s="11"/>
      <c r="I29" s="39"/>
    </row>
    <row r="30" spans="1:9" ht="18" customHeight="1" x14ac:dyDescent="0.2">
      <c r="A30" s="44"/>
      <c r="B30" s="31"/>
      <c r="C30" s="10"/>
      <c r="D30" s="10"/>
      <c r="E30" s="10"/>
      <c r="F30" s="104"/>
      <c r="G30" s="105"/>
      <c r="H30" s="10"/>
      <c r="I30" s="38"/>
    </row>
    <row r="31" spans="1:9" ht="18" customHeight="1" x14ac:dyDescent="0.2">
      <c r="A31" s="44"/>
      <c r="B31" s="30"/>
      <c r="C31" s="11"/>
      <c r="D31" s="11"/>
      <c r="E31" s="29"/>
      <c r="F31" s="82"/>
      <c r="G31" s="83"/>
      <c r="H31" s="30"/>
      <c r="I31" s="39"/>
    </row>
    <row r="32" spans="1:9" ht="18" customHeight="1" x14ac:dyDescent="0.2">
      <c r="A32" s="44"/>
      <c r="B32" s="31"/>
      <c r="C32" s="10"/>
      <c r="D32" s="10"/>
      <c r="E32" s="28"/>
      <c r="F32" s="106"/>
      <c r="G32" s="107"/>
      <c r="H32" s="31"/>
      <c r="I32" s="38"/>
    </row>
    <row r="33" spans="1:9" ht="18" customHeight="1" x14ac:dyDescent="0.2">
      <c r="A33" s="44"/>
      <c r="B33" s="30"/>
      <c r="C33" s="11"/>
      <c r="D33" s="11"/>
      <c r="E33" s="11"/>
      <c r="F33" s="102"/>
      <c r="G33" s="103"/>
      <c r="H33" s="11"/>
      <c r="I33" s="39"/>
    </row>
    <row r="34" spans="1:9" ht="18" customHeight="1" x14ac:dyDescent="0.2">
      <c r="A34" s="44"/>
      <c r="B34" s="31"/>
      <c r="C34" s="10"/>
      <c r="D34" s="10"/>
      <c r="E34" s="10"/>
      <c r="F34" s="100"/>
      <c r="G34" s="101"/>
      <c r="H34" s="10"/>
      <c r="I34" s="38"/>
    </row>
    <row r="35" spans="1:9" ht="18" customHeight="1" x14ac:dyDescent="0.2">
      <c r="A35" s="44"/>
      <c r="B35" s="30"/>
      <c r="C35" s="11"/>
      <c r="D35" s="11"/>
      <c r="E35" s="11"/>
      <c r="F35" s="102"/>
      <c r="G35" s="103"/>
      <c r="H35" s="11"/>
      <c r="I35" s="39"/>
    </row>
    <row r="36" spans="1:9" ht="18" customHeight="1" x14ac:dyDescent="0.2">
      <c r="A36" s="44"/>
      <c r="B36" s="31"/>
      <c r="C36" s="10"/>
      <c r="D36" s="10"/>
      <c r="E36" s="10"/>
      <c r="F36" s="104"/>
      <c r="G36" s="105"/>
      <c r="H36" s="10"/>
      <c r="I36" s="38"/>
    </row>
    <row r="37" spans="1:9" ht="18" customHeight="1" x14ac:dyDescent="0.2">
      <c r="A37" s="44"/>
      <c r="B37" s="30"/>
      <c r="C37" s="11"/>
      <c r="D37" s="11"/>
      <c r="E37" s="11"/>
      <c r="F37" s="102"/>
      <c r="G37" s="103"/>
      <c r="H37" s="11"/>
      <c r="I37" s="39"/>
    </row>
    <row r="38" spans="1:9" ht="18" customHeight="1" x14ac:dyDescent="0.2">
      <c r="A38" s="44"/>
      <c r="B38" s="31"/>
      <c r="C38" s="10"/>
      <c r="D38" s="10"/>
      <c r="E38" s="28"/>
      <c r="F38" s="80"/>
      <c r="G38" s="81"/>
      <c r="H38" s="31"/>
      <c r="I38" s="38"/>
    </row>
    <row r="39" spans="1:9" ht="18" customHeight="1" x14ac:dyDescent="0.2">
      <c r="A39" s="44"/>
      <c r="B39" s="30"/>
      <c r="C39" s="11"/>
      <c r="D39" s="11"/>
      <c r="E39" s="29"/>
      <c r="F39" s="82"/>
      <c r="G39" s="83"/>
      <c r="H39" s="30"/>
      <c r="I39" s="39"/>
    </row>
    <row r="40" spans="1:9" ht="18" customHeight="1" x14ac:dyDescent="0.2">
      <c r="A40" s="44"/>
      <c r="B40" s="31"/>
      <c r="C40" s="10"/>
      <c r="D40" s="10"/>
      <c r="E40" s="28"/>
      <c r="F40" s="80"/>
      <c r="G40" s="81"/>
      <c r="H40" s="31"/>
      <c r="I40" s="38"/>
    </row>
    <row r="41" spans="1:9" ht="18" customHeight="1" x14ac:dyDescent="0.2">
      <c r="A41" s="44"/>
      <c r="B41" s="30"/>
      <c r="C41" s="11"/>
      <c r="D41" s="11"/>
      <c r="E41" s="29"/>
      <c r="F41" s="82"/>
      <c r="G41" s="83"/>
      <c r="H41" s="30"/>
      <c r="I41" s="39"/>
    </row>
    <row r="42" spans="1:9" ht="18" customHeight="1" x14ac:dyDescent="0.2">
      <c r="A42" s="44"/>
      <c r="B42" s="31"/>
      <c r="C42" s="10"/>
      <c r="D42" s="10"/>
      <c r="E42" s="28"/>
      <c r="F42" s="108"/>
      <c r="G42" s="109"/>
      <c r="H42" s="31"/>
      <c r="I42" s="38"/>
    </row>
    <row r="43" spans="1:9" ht="18" customHeight="1" x14ac:dyDescent="0.2">
      <c r="A43" s="44"/>
      <c r="B43" s="30"/>
      <c r="C43" s="11"/>
      <c r="D43" s="11"/>
      <c r="E43" s="29"/>
      <c r="F43" s="110"/>
      <c r="G43" s="111"/>
      <c r="H43" s="30"/>
      <c r="I43" s="39"/>
    </row>
    <row r="44" spans="1:9" ht="18" customHeight="1" x14ac:dyDescent="0.2">
      <c r="A44" s="44"/>
      <c r="B44" s="31"/>
      <c r="C44" s="10"/>
      <c r="D44" s="10"/>
      <c r="E44" s="28"/>
      <c r="F44" s="84"/>
      <c r="G44" s="85"/>
      <c r="H44" s="31"/>
      <c r="I44" s="38"/>
    </row>
    <row r="45" spans="1:9" ht="18" customHeight="1" x14ac:dyDescent="0.2">
      <c r="A45" s="44"/>
      <c r="B45" s="30"/>
      <c r="C45" s="11"/>
      <c r="D45" s="11"/>
      <c r="E45" s="29"/>
      <c r="F45" s="112"/>
      <c r="G45" s="113"/>
      <c r="H45" s="30"/>
      <c r="I45" s="39"/>
    </row>
    <row r="46" spans="1:9" ht="18" customHeight="1" x14ac:dyDescent="0.2">
      <c r="A46" s="44"/>
      <c r="B46" s="31"/>
      <c r="C46" s="10"/>
      <c r="D46" s="10"/>
      <c r="E46" s="28"/>
      <c r="F46" s="108"/>
      <c r="G46" s="109"/>
      <c r="H46" s="31"/>
      <c r="I46" s="38"/>
    </row>
    <row r="47" spans="1:9" ht="18" customHeight="1" x14ac:dyDescent="0.2">
      <c r="A47" s="44"/>
      <c r="B47" s="30"/>
      <c r="C47" s="11"/>
      <c r="D47" s="11"/>
      <c r="E47" s="29"/>
      <c r="F47" s="110"/>
      <c r="G47" s="111"/>
      <c r="H47" s="30"/>
      <c r="I47" s="39"/>
    </row>
    <row r="48" spans="1:9" ht="18" customHeight="1" x14ac:dyDescent="0.2">
      <c r="A48" s="44"/>
      <c r="B48" s="31"/>
      <c r="C48" s="10"/>
      <c r="D48" s="10"/>
      <c r="E48" s="28"/>
      <c r="F48" s="84"/>
      <c r="G48" s="85"/>
      <c r="H48" s="31"/>
      <c r="I48" s="38"/>
    </row>
    <row r="49" spans="1:9" ht="18" customHeight="1" x14ac:dyDescent="0.2">
      <c r="A49" s="44"/>
      <c r="B49" s="30"/>
      <c r="C49" s="11"/>
      <c r="D49" s="11"/>
      <c r="E49" s="29"/>
      <c r="F49" s="112"/>
      <c r="G49" s="113"/>
      <c r="H49" s="30"/>
      <c r="I49" s="39"/>
    </row>
    <row r="50" spans="1:9" ht="18" customHeight="1" x14ac:dyDescent="0.2">
      <c r="A50" s="44"/>
      <c r="B50" s="31"/>
      <c r="C50" s="10"/>
      <c r="D50" s="10"/>
      <c r="E50" s="28"/>
      <c r="F50" s="106"/>
      <c r="G50" s="107"/>
      <c r="H50" s="31"/>
      <c r="I50" s="38"/>
    </row>
    <row r="51" spans="1:9" ht="18" customHeight="1" x14ac:dyDescent="0.2">
      <c r="A51" s="44"/>
      <c r="B51" s="30"/>
      <c r="C51" s="11"/>
      <c r="D51" s="11"/>
      <c r="E51" s="11"/>
      <c r="F51" s="102"/>
      <c r="G51" s="103"/>
      <c r="H51" s="11"/>
      <c r="I51" s="39"/>
    </row>
    <row r="52" spans="1:9" ht="18" customHeight="1" x14ac:dyDescent="0.2">
      <c r="A52" s="44"/>
      <c r="B52" s="31"/>
      <c r="C52" s="10"/>
      <c r="D52" s="10"/>
      <c r="E52" s="28"/>
      <c r="F52" s="106"/>
      <c r="G52" s="107"/>
      <c r="H52" s="31"/>
      <c r="I52" s="38"/>
    </row>
    <row r="53" spans="1:9" ht="18" customHeight="1" x14ac:dyDescent="0.2">
      <c r="A53" s="44"/>
      <c r="B53" s="30"/>
      <c r="C53" s="11"/>
      <c r="D53" s="11"/>
      <c r="E53" s="11"/>
      <c r="F53" s="102"/>
      <c r="G53" s="103"/>
      <c r="H53" s="11"/>
      <c r="I53" s="39"/>
    </row>
    <row r="54" spans="1:9" ht="18" customHeight="1" x14ac:dyDescent="0.2">
      <c r="A54" s="44"/>
      <c r="B54" s="31"/>
      <c r="C54" s="10"/>
      <c r="D54" s="10"/>
      <c r="E54" s="28"/>
      <c r="F54" s="106"/>
      <c r="G54" s="107"/>
      <c r="H54" s="31"/>
      <c r="I54" s="38"/>
    </row>
    <row r="55" spans="1:9" ht="18" customHeight="1" x14ac:dyDescent="0.2">
      <c r="A55" s="44"/>
      <c r="B55" s="30"/>
      <c r="C55" s="11"/>
      <c r="D55" s="11"/>
      <c r="E55" s="11"/>
      <c r="F55" s="102"/>
      <c r="G55" s="103"/>
      <c r="H55" s="11"/>
      <c r="I55" s="39"/>
    </row>
    <row r="56" spans="1:9" ht="18" customHeight="1" x14ac:dyDescent="0.2">
      <c r="A56" s="44"/>
      <c r="B56" s="31"/>
      <c r="C56" s="10"/>
      <c r="D56" s="10"/>
      <c r="E56" s="28"/>
      <c r="F56" s="106"/>
      <c r="G56" s="107"/>
      <c r="H56" s="31"/>
      <c r="I56" s="38"/>
    </row>
    <row r="57" spans="1:9" ht="18" customHeight="1" x14ac:dyDescent="0.2">
      <c r="A57" s="44"/>
      <c r="B57" s="30"/>
      <c r="C57" s="11"/>
      <c r="D57" s="11"/>
      <c r="E57" s="11"/>
      <c r="F57" s="114"/>
      <c r="G57" s="115"/>
      <c r="H57" s="11"/>
      <c r="I57" s="39"/>
    </row>
    <row r="58" spans="1:9" ht="18" customHeight="1" x14ac:dyDescent="0.2">
      <c r="A58" s="44"/>
      <c r="B58" s="31"/>
      <c r="C58" s="10"/>
      <c r="D58" s="60"/>
      <c r="E58" s="28"/>
      <c r="F58" s="84"/>
      <c r="G58" s="85"/>
      <c r="H58" s="31"/>
      <c r="I58" s="38"/>
    </row>
    <row r="59" spans="1:9" ht="18" customHeight="1" x14ac:dyDescent="0.2">
      <c r="A59" s="44"/>
      <c r="B59" s="30"/>
      <c r="C59" s="29"/>
      <c r="D59" s="61"/>
      <c r="E59" s="36"/>
      <c r="F59" s="82"/>
      <c r="G59" s="83"/>
      <c r="H59" s="30"/>
      <c r="I59" s="39"/>
    </row>
    <row r="60" spans="1:9" ht="18" customHeight="1" x14ac:dyDescent="0.2">
      <c r="A60" s="44"/>
      <c r="B60" s="31"/>
      <c r="C60" s="28"/>
      <c r="D60" s="33"/>
      <c r="E60" s="35"/>
      <c r="F60" s="84"/>
      <c r="G60" s="85"/>
      <c r="H60" s="31"/>
      <c r="I60" s="38"/>
    </row>
    <row r="61" spans="1:9" ht="18" customHeight="1" x14ac:dyDescent="0.2">
      <c r="A61" s="44"/>
      <c r="B61" s="30"/>
      <c r="C61" s="29"/>
      <c r="D61" s="34"/>
      <c r="E61" s="36"/>
      <c r="F61" s="82"/>
      <c r="G61" s="83"/>
      <c r="H61" s="30"/>
      <c r="I61" s="39"/>
    </row>
    <row r="62" spans="1:9" ht="18" customHeight="1" x14ac:dyDescent="0.2">
      <c r="A62" s="44"/>
      <c r="B62" s="31"/>
      <c r="C62" s="28"/>
      <c r="D62" s="59"/>
      <c r="E62" s="35"/>
      <c r="F62" s="84"/>
      <c r="G62" s="85"/>
      <c r="H62" s="31"/>
      <c r="I62" s="38"/>
    </row>
    <row r="63" spans="1:9" ht="18" customHeight="1" x14ac:dyDescent="0.2">
      <c r="A63" s="44"/>
      <c r="B63" s="30"/>
      <c r="C63" s="29"/>
      <c r="D63" s="34"/>
      <c r="E63" s="36"/>
      <c r="F63" s="82"/>
      <c r="G63" s="83"/>
      <c r="H63" s="30"/>
      <c r="I63" s="39"/>
    </row>
    <row r="64" spans="1:9" ht="18" customHeight="1" x14ac:dyDescent="0.2">
      <c r="A64" s="44"/>
      <c r="B64" s="31"/>
      <c r="C64" s="38"/>
      <c r="D64" s="62"/>
      <c r="E64" s="35"/>
      <c r="F64" s="57"/>
      <c r="G64" s="58"/>
      <c r="H64" s="31"/>
      <c r="I64" s="38"/>
    </row>
    <row r="65" spans="1:10" ht="18" customHeight="1" x14ac:dyDescent="0.2">
      <c r="A65" s="44"/>
      <c r="B65" s="30"/>
      <c r="C65" s="39"/>
      <c r="D65" s="34"/>
      <c r="E65" s="36"/>
      <c r="F65" s="82"/>
      <c r="G65" s="83"/>
      <c r="H65" s="30"/>
      <c r="I65" s="39"/>
    </row>
    <row r="66" spans="1:10" ht="18" customHeight="1" x14ac:dyDescent="0.2">
      <c r="A66" s="44"/>
      <c r="B66" s="31"/>
      <c r="C66" s="38"/>
      <c r="D66" s="62"/>
      <c r="E66" s="35"/>
      <c r="F66" s="57"/>
      <c r="G66" s="58"/>
      <c r="H66" s="31"/>
      <c r="I66" s="38"/>
    </row>
    <row r="67" spans="1:10" ht="18" customHeight="1" x14ac:dyDescent="0.2">
      <c r="A67" s="44"/>
      <c r="B67" s="30"/>
      <c r="C67" s="39"/>
      <c r="D67" s="34"/>
      <c r="E67" s="36"/>
      <c r="F67" s="82"/>
      <c r="G67" s="83"/>
      <c r="H67" s="30"/>
      <c r="I67" s="39"/>
    </row>
    <row r="68" spans="1:10" ht="18" customHeight="1" x14ac:dyDescent="0.2">
      <c r="A68" s="44"/>
      <c r="B68" s="31"/>
      <c r="C68" s="38"/>
      <c r="D68" s="62"/>
      <c r="E68" s="35"/>
      <c r="F68" s="57"/>
      <c r="G68" s="58"/>
      <c r="H68" s="31"/>
      <c r="I68" s="38"/>
    </row>
    <row r="69" spans="1:10" ht="18" customHeight="1" x14ac:dyDescent="0.2">
      <c r="A69" s="44"/>
      <c r="B69" s="30"/>
      <c r="C69" s="39"/>
      <c r="D69" s="34"/>
      <c r="E69" s="36"/>
      <c r="F69" s="82"/>
      <c r="G69" s="83"/>
      <c r="H69" s="30"/>
      <c r="I69" s="39"/>
    </row>
    <row r="70" spans="1:10" ht="18" customHeight="1" x14ac:dyDescent="0.2">
      <c r="A70" s="44"/>
      <c r="B70" s="31"/>
      <c r="C70" s="38"/>
      <c r="D70" s="59"/>
      <c r="E70" s="35"/>
      <c r="F70" s="57"/>
      <c r="G70" s="58"/>
      <c r="H70" s="31"/>
      <c r="I70" s="38"/>
    </row>
    <row r="71" spans="1:10" ht="18" customHeight="1" x14ac:dyDescent="0.2">
      <c r="A71" s="44"/>
      <c r="B71" s="30"/>
      <c r="C71" s="29"/>
      <c r="D71" s="34"/>
      <c r="E71" s="36"/>
      <c r="F71" s="82"/>
      <c r="G71" s="83"/>
      <c r="H71" s="30"/>
      <c r="I71" s="39"/>
    </row>
    <row r="72" spans="1:10" ht="18" customHeight="1" x14ac:dyDescent="0.2">
      <c r="A72" s="44"/>
      <c r="B72" s="31"/>
      <c r="C72" s="10"/>
      <c r="D72" s="32"/>
      <c r="E72" s="28"/>
      <c r="F72" s="84"/>
      <c r="G72" s="85"/>
      <c r="H72" s="31"/>
      <c r="I72" s="38"/>
    </row>
    <row r="73" spans="1:10" ht="18" customHeight="1" x14ac:dyDescent="0.2">
      <c r="A73" s="44"/>
      <c r="B73" s="30"/>
      <c r="C73" s="29"/>
      <c r="D73" s="34"/>
      <c r="E73" s="36"/>
      <c r="F73" s="82"/>
      <c r="G73" s="83"/>
      <c r="H73" s="30"/>
      <c r="I73" s="39"/>
    </row>
    <row r="74" spans="1:10" ht="18" customHeight="1" x14ac:dyDescent="0.2">
      <c r="A74" s="44"/>
      <c r="B74" s="31"/>
      <c r="C74" s="10"/>
      <c r="D74" s="32"/>
      <c r="E74" s="28"/>
      <c r="F74" s="84"/>
      <c r="G74" s="85"/>
      <c r="H74" s="31"/>
      <c r="I74" s="38"/>
    </row>
    <row r="75" spans="1:10" ht="18" customHeight="1" x14ac:dyDescent="0.2">
      <c r="A75" s="44"/>
      <c r="B75" s="30"/>
      <c r="C75" s="29"/>
      <c r="D75" s="34"/>
      <c r="E75" s="36"/>
      <c r="F75" s="82"/>
      <c r="G75" s="83"/>
      <c r="H75" s="30"/>
      <c r="I75" s="39"/>
    </row>
    <row r="76" spans="1:10" ht="18" customHeight="1" x14ac:dyDescent="0.2">
      <c r="A76" s="44"/>
      <c r="B76" s="31"/>
      <c r="C76" s="10"/>
      <c r="D76" s="32"/>
      <c r="E76" s="28"/>
      <c r="F76" s="84"/>
      <c r="G76" s="85"/>
      <c r="H76" s="31"/>
      <c r="I76" s="38"/>
    </row>
    <row r="77" spans="1:10" ht="18" customHeight="1" x14ac:dyDescent="0.2">
      <c r="A77" s="44"/>
      <c r="B77" s="30"/>
      <c r="C77" s="29"/>
      <c r="D77" s="34"/>
      <c r="E77" s="36"/>
      <c r="F77" s="82"/>
      <c r="G77" s="83"/>
      <c r="H77" s="30"/>
      <c r="I77" s="39"/>
    </row>
    <row r="78" spans="1:10" ht="18" customHeight="1" x14ac:dyDescent="0.2">
      <c r="A78" s="44"/>
      <c r="B78" s="31"/>
      <c r="C78" s="10"/>
      <c r="D78" s="32"/>
      <c r="E78" s="28"/>
      <c r="F78" s="84"/>
      <c r="G78" s="85"/>
      <c r="H78" s="31"/>
      <c r="I78" s="38"/>
    </row>
    <row r="79" spans="1:10" ht="22" customHeight="1" thickBot="1" x14ac:dyDescent="0.25">
      <c r="A79" s="44"/>
      <c r="B79" s="65" t="s">
        <v>26</v>
      </c>
      <c r="C79" s="66"/>
      <c r="D79" s="66"/>
      <c r="E79" s="67"/>
      <c r="F79" s="116">
        <f>SUM(F9:F78)</f>
        <v>2260</v>
      </c>
      <c r="G79" s="117"/>
      <c r="H79" s="47">
        <f>SUM(H9:H78)</f>
        <v>1031.3</v>
      </c>
      <c r="I79" s="48">
        <f>SUM(I9:I78)</f>
        <v>3291.3</v>
      </c>
      <c r="J79" s="46"/>
    </row>
    <row r="81" spans="2:9" x14ac:dyDescent="0.2">
      <c r="B81" s="63" t="s">
        <v>27</v>
      </c>
      <c r="C81" s="64"/>
      <c r="D81" s="64"/>
      <c r="E81" s="64"/>
      <c r="F81" s="64"/>
      <c r="G81" s="64"/>
      <c r="H81" s="64"/>
      <c r="I81" s="64"/>
    </row>
  </sheetData>
  <mergeCells count="78">
    <mergeCell ref="F60:G60"/>
    <mergeCell ref="F61:G61"/>
    <mergeCell ref="F62:G62"/>
    <mergeCell ref="F78:G78"/>
    <mergeCell ref="F79:G79"/>
    <mergeCell ref="F71:G71"/>
    <mergeCell ref="F72:G72"/>
    <mergeCell ref="F74:G74"/>
    <mergeCell ref="F75:G75"/>
    <mergeCell ref="F77:G77"/>
    <mergeCell ref="F73:G73"/>
    <mergeCell ref="F76:G76"/>
    <mergeCell ref="F63:G63"/>
    <mergeCell ref="F65:G65"/>
    <mergeCell ref="F67:G67"/>
    <mergeCell ref="F69:G69"/>
    <mergeCell ref="F49:G49"/>
    <mergeCell ref="F50:G50"/>
    <mergeCell ref="F51:G51"/>
    <mergeCell ref="F58:G58"/>
    <mergeCell ref="F59:G59"/>
    <mergeCell ref="F52:G52"/>
    <mergeCell ref="F53:G53"/>
    <mergeCell ref="F54:G54"/>
    <mergeCell ref="F55:G55"/>
    <mergeCell ref="F56:G56"/>
    <mergeCell ref="F57:G57"/>
    <mergeCell ref="F44:G44"/>
    <mergeCell ref="F45:G45"/>
    <mergeCell ref="F46:G46"/>
    <mergeCell ref="F47:G47"/>
    <mergeCell ref="F48:G48"/>
    <mergeCell ref="F39:G39"/>
    <mergeCell ref="F40:G40"/>
    <mergeCell ref="F41:G41"/>
    <mergeCell ref="F42:G42"/>
    <mergeCell ref="F43:G43"/>
    <mergeCell ref="F34:G34"/>
    <mergeCell ref="F35:G35"/>
    <mergeCell ref="F36:G36"/>
    <mergeCell ref="F37:G37"/>
    <mergeCell ref="F38:G3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B2:I2"/>
    <mergeCell ref="B3:I3"/>
    <mergeCell ref="E4:G4"/>
    <mergeCell ref="E5:G5"/>
    <mergeCell ref="F7:G7"/>
    <mergeCell ref="B81:I81"/>
    <mergeCell ref="B79:E79"/>
    <mergeCell ref="C4:D4"/>
    <mergeCell ref="C5:D5"/>
    <mergeCell ref="H4:I4"/>
    <mergeCell ref="H5:I5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5"/>
  <sheetViews>
    <sheetView showGridLines="0" topLeftCell="A43" workbookViewId="0">
      <selection activeCell="D59" sqref="D59"/>
    </sheetView>
  </sheetViews>
  <sheetFormatPr baseColWidth="10" defaultColWidth="8.83203125" defaultRowHeight="15" x14ac:dyDescent="0.2"/>
  <cols>
    <col min="1" max="1" width="3" customWidth="1"/>
    <col min="2" max="2" width="32.83203125" bestFit="1" customWidth="1"/>
    <col min="3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3" customWidth="1"/>
  </cols>
  <sheetData>
    <row r="2" spans="1:9" ht="35" customHeight="1" x14ac:dyDescent="0.2">
      <c r="B2" s="119" t="s">
        <v>28</v>
      </c>
      <c r="C2" s="64"/>
      <c r="D2" s="64"/>
      <c r="E2" s="64"/>
      <c r="F2" s="64"/>
      <c r="G2" s="64"/>
      <c r="H2" s="64"/>
    </row>
    <row r="4" spans="1:9" ht="28" customHeight="1" x14ac:dyDescent="0.2">
      <c r="A4" s="13"/>
      <c r="B4" s="13" t="s">
        <v>6</v>
      </c>
      <c r="C4" s="13" t="s">
        <v>7</v>
      </c>
      <c r="D4" s="13" t="s">
        <v>29</v>
      </c>
      <c r="E4" s="13" t="s">
        <v>8</v>
      </c>
      <c r="F4" s="13" t="s">
        <v>10</v>
      </c>
      <c r="G4" s="13" t="s">
        <v>30</v>
      </c>
      <c r="H4" s="13" t="s">
        <v>5</v>
      </c>
      <c r="I4" s="13"/>
    </row>
    <row r="6" spans="1:9" ht="22" customHeight="1" x14ac:dyDescent="0.2">
      <c r="B6" s="50" t="s">
        <v>12</v>
      </c>
      <c r="C6" s="1" t="s">
        <v>13</v>
      </c>
      <c r="D6" s="1">
        <v>218</v>
      </c>
      <c r="E6" s="51" t="s">
        <v>14</v>
      </c>
      <c r="F6" s="55">
        <v>30</v>
      </c>
      <c r="G6" s="52">
        <v>32.700000000000003</v>
      </c>
      <c r="H6" s="56">
        <f>F6+G6</f>
        <v>62.7</v>
      </c>
    </row>
    <row r="7" spans="1:9" ht="22" customHeight="1" x14ac:dyDescent="0.2">
      <c r="B7" s="50" t="s">
        <v>15</v>
      </c>
      <c r="C7" s="1" t="s">
        <v>13</v>
      </c>
      <c r="D7" s="9">
        <v>45</v>
      </c>
      <c r="E7" s="51" t="s">
        <v>16</v>
      </c>
      <c r="F7" s="55">
        <v>180</v>
      </c>
      <c r="G7" s="52">
        <v>40.5</v>
      </c>
      <c r="H7" s="56">
        <f>F7+G7</f>
        <v>220.5</v>
      </c>
    </row>
    <row r="8" spans="1:9" ht="22" customHeight="1" x14ac:dyDescent="0.2">
      <c r="B8" s="50" t="s">
        <v>17</v>
      </c>
      <c r="C8" s="1" t="s">
        <v>18</v>
      </c>
      <c r="D8" s="2">
        <v>88</v>
      </c>
      <c r="E8" s="51" t="s">
        <v>19</v>
      </c>
      <c r="F8" s="55">
        <v>500</v>
      </c>
      <c r="G8" s="52">
        <v>220</v>
      </c>
      <c r="H8" s="56">
        <f>F8+G8</f>
        <v>720</v>
      </c>
    </row>
    <row r="9" spans="1:9" ht="22" customHeight="1" x14ac:dyDescent="0.2">
      <c r="B9" s="50" t="s">
        <v>20</v>
      </c>
      <c r="C9" s="1" t="s">
        <v>21</v>
      </c>
      <c r="D9" s="2">
        <v>113</v>
      </c>
      <c r="E9" s="51" t="s">
        <v>22</v>
      </c>
      <c r="F9" s="55">
        <v>1200</v>
      </c>
      <c r="G9" s="52">
        <v>678.6</v>
      </c>
      <c r="H9" s="56">
        <f>F9+G9</f>
        <v>1878.6</v>
      </c>
    </row>
    <row r="10" spans="1:9" ht="22" customHeight="1" x14ac:dyDescent="0.2">
      <c r="B10" s="14"/>
      <c r="C10" s="49"/>
      <c r="D10" s="49"/>
      <c r="E10" s="8"/>
      <c r="F10" s="5"/>
      <c r="G10" s="6"/>
      <c r="H10" s="7"/>
    </row>
    <row r="11" spans="1:9" ht="22" customHeight="1" x14ac:dyDescent="0.2">
      <c r="B11" s="14"/>
      <c r="C11" s="49"/>
      <c r="D11" s="49"/>
      <c r="E11" s="8"/>
      <c r="F11" s="5"/>
      <c r="G11" s="6"/>
      <c r="H11" s="7"/>
    </row>
    <row r="12" spans="1:9" ht="22" customHeight="1" x14ac:dyDescent="0.2">
      <c r="B12" s="14"/>
      <c r="C12" s="49"/>
      <c r="D12" s="49"/>
      <c r="E12" s="8"/>
      <c r="F12" s="5"/>
      <c r="G12" s="6"/>
      <c r="H12" s="7"/>
    </row>
    <row r="13" spans="1:9" ht="22" customHeight="1" x14ac:dyDescent="0.2">
      <c r="B13" s="14"/>
      <c r="C13" s="49"/>
      <c r="D13" s="49"/>
      <c r="E13" s="8"/>
      <c r="F13" s="5"/>
      <c r="G13" s="6"/>
      <c r="H13" s="7"/>
    </row>
    <row r="14" spans="1:9" ht="22" customHeight="1" x14ac:dyDescent="0.2">
      <c r="B14" s="14"/>
      <c r="C14" s="49"/>
      <c r="D14" s="49"/>
      <c r="E14" s="8"/>
      <c r="F14" s="5"/>
      <c r="G14" s="6"/>
      <c r="H14" s="7"/>
    </row>
    <row r="15" spans="1:9" ht="22" customHeight="1" x14ac:dyDescent="0.2">
      <c r="B15" s="14"/>
      <c r="C15" s="49"/>
      <c r="D15" s="49"/>
      <c r="E15" s="8"/>
      <c r="F15" s="5"/>
      <c r="G15" s="6"/>
      <c r="H15" s="7"/>
    </row>
    <row r="16" spans="1:9" ht="22" customHeight="1" x14ac:dyDescent="0.2">
      <c r="B16" s="14"/>
      <c r="C16" s="49"/>
      <c r="D16" s="49"/>
      <c r="E16" s="8"/>
      <c r="F16" s="5"/>
      <c r="G16" s="6"/>
      <c r="H16" s="7"/>
    </row>
    <row r="17" spans="2:8" ht="22" customHeight="1" x14ac:dyDescent="0.2">
      <c r="B17" s="14"/>
      <c r="C17" s="49"/>
      <c r="D17" s="49"/>
      <c r="E17" s="8"/>
      <c r="F17" s="5"/>
      <c r="G17" s="6"/>
      <c r="H17" s="7"/>
    </row>
    <row r="18" spans="2:8" ht="22" customHeight="1" x14ac:dyDescent="0.2">
      <c r="B18" s="14"/>
      <c r="C18" s="49"/>
      <c r="D18" s="49"/>
      <c r="E18" s="8"/>
      <c r="F18" s="5"/>
      <c r="G18" s="6"/>
      <c r="H18" s="7"/>
    </row>
    <row r="19" spans="2:8" ht="22" customHeight="1" x14ac:dyDescent="0.2">
      <c r="B19" s="14"/>
      <c r="C19" s="49"/>
      <c r="D19" s="49"/>
      <c r="E19" s="8"/>
      <c r="F19" s="5"/>
      <c r="G19" s="6"/>
      <c r="H19" s="7"/>
    </row>
    <row r="20" spans="2:8" ht="22" customHeight="1" x14ac:dyDescent="0.2">
      <c r="B20" s="14"/>
      <c r="C20" s="49"/>
      <c r="D20" s="49"/>
      <c r="E20" s="8"/>
      <c r="F20" s="5"/>
      <c r="G20" s="6"/>
      <c r="H20" s="7"/>
    </row>
    <row r="21" spans="2:8" ht="22" customHeight="1" x14ac:dyDescent="0.2">
      <c r="B21" s="14"/>
      <c r="C21" s="49"/>
      <c r="D21" s="49"/>
      <c r="E21" s="8"/>
      <c r="F21" s="5"/>
      <c r="G21" s="6"/>
      <c r="H21" s="7"/>
    </row>
    <row r="22" spans="2:8" ht="22" customHeight="1" x14ac:dyDescent="0.2">
      <c r="B22" s="14"/>
      <c r="C22" s="49"/>
      <c r="D22" s="49"/>
      <c r="E22" s="8"/>
      <c r="F22" s="5"/>
      <c r="G22" s="6"/>
      <c r="H22" s="7"/>
    </row>
    <row r="23" spans="2:8" ht="22" customHeight="1" x14ac:dyDescent="0.2">
      <c r="B23" s="14"/>
      <c r="C23" s="49"/>
      <c r="D23" s="49"/>
      <c r="E23" s="8"/>
      <c r="F23" s="5"/>
      <c r="G23" s="6"/>
      <c r="H23" s="7"/>
    </row>
    <row r="24" spans="2:8" ht="22" customHeight="1" x14ac:dyDescent="0.2">
      <c r="B24" s="14"/>
      <c r="C24" s="49"/>
      <c r="D24" s="49"/>
      <c r="E24" s="8"/>
      <c r="F24" s="5"/>
      <c r="G24" s="6"/>
      <c r="H24" s="7"/>
    </row>
    <row r="25" spans="2:8" ht="22" customHeight="1" x14ac:dyDescent="0.2">
      <c r="B25" s="14"/>
      <c r="C25" s="49"/>
      <c r="D25" s="49"/>
      <c r="E25" s="8"/>
      <c r="F25" s="5"/>
      <c r="G25" s="6"/>
      <c r="H25" s="7"/>
    </row>
    <row r="26" spans="2:8" ht="22" customHeight="1" x14ac:dyDescent="0.2">
      <c r="B26" s="14"/>
      <c r="C26" s="49"/>
      <c r="D26" s="49"/>
      <c r="E26" s="8"/>
      <c r="F26" s="5"/>
      <c r="G26" s="6"/>
      <c r="H26" s="7"/>
    </row>
    <row r="27" spans="2:8" ht="22" customHeight="1" x14ac:dyDescent="0.2">
      <c r="B27" s="14"/>
      <c r="C27" s="49"/>
      <c r="D27" s="49"/>
      <c r="E27" s="8"/>
      <c r="F27" s="5"/>
      <c r="G27" s="6"/>
      <c r="H27" s="7"/>
    </row>
    <row r="28" spans="2:8" ht="22" customHeight="1" x14ac:dyDescent="0.2">
      <c r="B28" s="14"/>
      <c r="C28" s="49"/>
      <c r="D28" s="49"/>
      <c r="E28" s="8"/>
      <c r="F28" s="5"/>
      <c r="G28" s="6"/>
      <c r="H28" s="7"/>
    </row>
    <row r="29" spans="2:8" ht="22" customHeight="1" x14ac:dyDescent="0.2">
      <c r="B29" s="14"/>
      <c r="C29" s="49"/>
      <c r="D29" s="49"/>
      <c r="E29" s="8"/>
      <c r="F29" s="5"/>
      <c r="G29" s="6"/>
      <c r="H29" s="7"/>
    </row>
    <row r="30" spans="2:8" ht="22" customHeight="1" x14ac:dyDescent="0.2">
      <c r="B30" s="14"/>
      <c r="C30" s="49"/>
      <c r="D30" s="49"/>
      <c r="E30" s="8"/>
      <c r="F30" s="5"/>
      <c r="G30" s="6"/>
      <c r="H30" s="7"/>
    </row>
    <row r="31" spans="2:8" ht="22" customHeight="1" x14ac:dyDescent="0.2">
      <c r="B31" s="14"/>
      <c r="C31" s="49"/>
      <c r="D31" s="49"/>
      <c r="E31" s="8"/>
      <c r="F31" s="5"/>
      <c r="G31" s="6"/>
      <c r="H31" s="7"/>
    </row>
    <row r="32" spans="2:8" ht="22" customHeight="1" x14ac:dyDescent="0.2">
      <c r="B32" s="14"/>
      <c r="C32" s="49"/>
      <c r="D32" s="49"/>
      <c r="E32" s="8"/>
      <c r="F32" s="5"/>
      <c r="G32" s="6"/>
      <c r="H32" s="7"/>
    </row>
    <row r="33" spans="2:8" ht="22" customHeight="1" x14ac:dyDescent="0.2">
      <c r="B33" s="14"/>
      <c r="C33" s="49"/>
      <c r="D33" s="49"/>
      <c r="E33" s="8"/>
      <c r="F33" s="5"/>
      <c r="G33" s="6"/>
      <c r="H33" s="7"/>
    </row>
    <row r="34" spans="2:8" ht="22" customHeight="1" x14ac:dyDescent="0.2">
      <c r="B34" s="14"/>
      <c r="C34" s="49"/>
      <c r="D34" s="49"/>
      <c r="E34" s="8"/>
      <c r="F34" s="5"/>
      <c r="G34" s="6"/>
      <c r="H34" s="7"/>
    </row>
    <row r="35" spans="2:8" ht="22" customHeight="1" x14ac:dyDescent="0.2">
      <c r="B35" s="14"/>
      <c r="C35" s="49"/>
      <c r="D35" s="49"/>
      <c r="E35" s="8"/>
      <c r="F35" s="5"/>
      <c r="G35" s="6"/>
      <c r="H35" s="7"/>
    </row>
    <row r="36" spans="2:8" ht="22" customHeight="1" x14ac:dyDescent="0.2">
      <c r="B36" s="14"/>
      <c r="C36" s="49"/>
      <c r="D36" s="49"/>
      <c r="E36" s="8"/>
      <c r="F36" s="5"/>
      <c r="G36" s="6"/>
      <c r="H36" s="7"/>
    </row>
    <row r="37" spans="2:8" ht="22" customHeight="1" x14ac:dyDescent="0.2">
      <c r="B37" s="14"/>
      <c r="C37" s="49"/>
      <c r="D37" s="49"/>
      <c r="E37" s="8"/>
      <c r="F37" s="5"/>
      <c r="G37" s="6"/>
      <c r="H37" s="7"/>
    </row>
    <row r="38" spans="2:8" ht="22" customHeight="1" x14ac:dyDescent="0.2">
      <c r="B38" s="14"/>
      <c r="C38" s="49"/>
      <c r="D38" s="49"/>
      <c r="E38" s="8"/>
      <c r="F38" s="5"/>
      <c r="G38" s="6"/>
      <c r="H38" s="7"/>
    </row>
    <row r="39" spans="2:8" ht="22" customHeight="1" x14ac:dyDescent="0.2">
      <c r="B39" s="14"/>
      <c r="C39" s="49"/>
      <c r="D39" s="49"/>
      <c r="E39" s="8"/>
      <c r="F39" s="5"/>
      <c r="G39" s="6"/>
      <c r="H39" s="7"/>
    </row>
    <row r="40" spans="2:8" ht="22" customHeight="1" x14ac:dyDescent="0.2">
      <c r="B40" s="14"/>
      <c r="C40" s="49"/>
      <c r="D40" s="49"/>
      <c r="E40" s="8"/>
      <c r="F40" s="5"/>
      <c r="G40" s="6"/>
      <c r="H40" s="7"/>
    </row>
    <row r="41" spans="2:8" ht="22" customHeight="1" x14ac:dyDescent="0.2">
      <c r="B41" s="14"/>
      <c r="C41" s="49"/>
      <c r="D41" s="49"/>
      <c r="E41" s="8"/>
      <c r="F41" s="5"/>
      <c r="G41" s="6"/>
      <c r="H41" s="7"/>
    </row>
    <row r="42" spans="2:8" ht="22" customHeight="1" x14ac:dyDescent="0.2">
      <c r="B42" s="14"/>
      <c r="C42" s="49"/>
      <c r="D42" s="49"/>
      <c r="E42" s="8"/>
      <c r="F42" s="5"/>
      <c r="G42" s="6"/>
      <c r="H42" s="7"/>
    </row>
    <row r="43" spans="2:8" ht="22" customHeight="1" x14ac:dyDescent="0.2">
      <c r="B43" s="14"/>
      <c r="C43" s="49"/>
      <c r="D43" s="49"/>
      <c r="E43" s="8"/>
      <c r="F43" s="5"/>
      <c r="G43" s="6"/>
      <c r="H43" s="7"/>
    </row>
    <row r="44" spans="2:8" ht="22" customHeight="1" x14ac:dyDescent="0.2">
      <c r="B44" s="14"/>
      <c r="C44" s="49"/>
      <c r="D44" s="49"/>
      <c r="E44" s="8"/>
      <c r="F44" s="5"/>
      <c r="G44" s="6"/>
      <c r="H44" s="7"/>
    </row>
    <row r="45" spans="2:8" ht="22" customHeight="1" x14ac:dyDescent="0.2">
      <c r="B45" s="14"/>
      <c r="C45" s="49"/>
      <c r="D45" s="49"/>
      <c r="E45" s="8"/>
      <c r="F45" s="5"/>
      <c r="G45" s="6"/>
      <c r="H45" s="7"/>
    </row>
    <row r="46" spans="2:8" ht="22" customHeight="1" x14ac:dyDescent="0.2">
      <c r="B46" s="14"/>
      <c r="C46" s="49"/>
      <c r="D46" s="49"/>
      <c r="E46" s="8"/>
      <c r="F46" s="5"/>
      <c r="G46" s="6"/>
      <c r="H46" s="7"/>
    </row>
    <row r="47" spans="2:8" ht="22" customHeight="1" x14ac:dyDescent="0.2">
      <c r="B47" s="14"/>
      <c r="C47" s="49"/>
      <c r="D47" s="49"/>
      <c r="E47" s="8"/>
      <c r="F47" s="5"/>
      <c r="G47" s="6"/>
      <c r="H47" s="7"/>
    </row>
    <row r="48" spans="2:8" ht="22" customHeight="1" x14ac:dyDescent="0.2">
      <c r="B48" s="14"/>
      <c r="C48" s="49"/>
      <c r="D48" s="49"/>
      <c r="E48" s="8"/>
      <c r="F48" s="5"/>
      <c r="G48" s="6"/>
      <c r="H48" s="7"/>
    </row>
    <row r="49" spans="2:8" ht="22" customHeight="1" x14ac:dyDescent="0.2">
      <c r="B49" s="14"/>
      <c r="C49" s="49"/>
      <c r="D49" s="49"/>
      <c r="E49" s="8"/>
      <c r="F49" s="5"/>
      <c r="G49" s="6"/>
      <c r="H49" s="7"/>
    </row>
    <row r="50" spans="2:8" ht="22" customHeight="1" x14ac:dyDescent="0.2">
      <c r="B50" s="14"/>
      <c r="C50" s="49"/>
      <c r="D50" s="49"/>
      <c r="E50" s="8"/>
      <c r="F50" s="5"/>
      <c r="G50" s="6"/>
      <c r="H50" s="7"/>
    </row>
    <row r="51" spans="2:8" ht="22" customHeight="1" x14ac:dyDescent="0.2">
      <c r="B51" s="14"/>
      <c r="C51" s="49"/>
      <c r="D51" s="49"/>
      <c r="E51" s="8"/>
      <c r="F51" s="5"/>
      <c r="G51" s="6"/>
      <c r="H51" s="7"/>
    </row>
    <row r="52" spans="2:8" ht="22" customHeight="1" x14ac:dyDescent="0.2">
      <c r="B52" s="14"/>
      <c r="C52" s="49"/>
      <c r="D52" s="49"/>
      <c r="E52" s="8"/>
      <c r="F52" s="5"/>
      <c r="G52" s="6"/>
      <c r="H52" s="7"/>
    </row>
    <row r="53" spans="2:8" ht="22" customHeight="1" x14ac:dyDescent="0.2">
      <c r="B53" s="14"/>
      <c r="C53" s="49"/>
      <c r="D53" s="49"/>
      <c r="E53" s="8"/>
      <c r="F53" s="5"/>
      <c r="G53" s="6"/>
      <c r="H53" s="7"/>
    </row>
    <row r="54" spans="2:8" ht="22" customHeight="1" x14ac:dyDescent="0.2">
      <c r="B54" s="14"/>
      <c r="C54" s="49"/>
      <c r="D54" s="49"/>
      <c r="E54" s="8"/>
      <c r="F54" s="5"/>
      <c r="G54" s="6"/>
      <c r="H54" s="7"/>
    </row>
    <row r="55" spans="2:8" ht="22" customHeight="1" x14ac:dyDescent="0.2">
      <c r="B55" s="14"/>
      <c r="C55" s="49"/>
      <c r="D55" s="49"/>
      <c r="E55" s="8"/>
      <c r="F55" s="5"/>
      <c r="G55" s="6"/>
      <c r="H55" s="7"/>
    </row>
    <row r="56" spans="2:8" ht="22" customHeight="1" x14ac:dyDescent="0.2">
      <c r="B56" s="14"/>
      <c r="C56" s="49"/>
      <c r="D56" s="49"/>
      <c r="E56" s="8"/>
      <c r="F56" s="5"/>
      <c r="G56" s="6"/>
      <c r="H56" s="7"/>
    </row>
    <row r="57" spans="2:8" ht="22" customHeight="1" x14ac:dyDescent="0.2">
      <c r="B57" s="14"/>
      <c r="C57" s="49"/>
      <c r="D57" s="49"/>
      <c r="E57" s="8"/>
      <c r="F57" s="5"/>
      <c r="G57" s="6"/>
      <c r="H57" s="7"/>
    </row>
    <row r="58" spans="2:8" ht="22" customHeight="1" x14ac:dyDescent="0.2">
      <c r="B58" s="14"/>
      <c r="C58" s="49"/>
      <c r="D58" s="49"/>
      <c r="E58" s="8"/>
      <c r="F58" s="5"/>
      <c r="G58" s="6"/>
      <c r="H58" s="7"/>
    </row>
    <row r="59" spans="2:8" ht="22" customHeight="1" x14ac:dyDescent="0.2">
      <c r="B59" s="14"/>
      <c r="C59" s="49"/>
      <c r="D59" s="49"/>
      <c r="E59" s="8"/>
      <c r="F59" s="5"/>
      <c r="G59" s="6"/>
      <c r="H59" s="7"/>
    </row>
    <row r="60" spans="2:8" ht="22" customHeight="1" x14ac:dyDescent="0.2">
      <c r="B60" s="14"/>
      <c r="C60" s="49"/>
      <c r="D60" s="49"/>
      <c r="E60" s="8"/>
      <c r="F60" s="5"/>
      <c r="G60" s="6"/>
      <c r="H60" s="7"/>
    </row>
    <row r="61" spans="2:8" ht="22" customHeight="1" x14ac:dyDescent="0.2">
      <c r="B61" s="14"/>
      <c r="C61" s="49"/>
      <c r="D61" s="49"/>
      <c r="E61" s="8"/>
      <c r="F61" s="5"/>
      <c r="G61" s="6"/>
      <c r="H61" s="7"/>
    </row>
    <row r="62" spans="2:8" ht="22" customHeight="1" x14ac:dyDescent="0.2">
      <c r="B62" s="14"/>
      <c r="C62" s="49"/>
      <c r="D62" s="49"/>
      <c r="E62" s="8"/>
      <c r="F62" s="5"/>
      <c r="G62" s="6"/>
      <c r="H62" s="7"/>
    </row>
    <row r="63" spans="2:8" ht="22" customHeight="1" x14ac:dyDescent="0.2">
      <c r="B63" s="14"/>
      <c r="C63" s="49"/>
      <c r="D63" s="49"/>
      <c r="E63" s="8"/>
      <c r="F63" s="5"/>
      <c r="G63" s="6"/>
      <c r="H63" s="7"/>
    </row>
    <row r="64" spans="2:8" ht="22" customHeight="1" x14ac:dyDescent="0.2">
      <c r="B64" s="14"/>
      <c r="C64" s="49"/>
      <c r="D64" s="49"/>
      <c r="E64" s="8"/>
      <c r="F64" s="5"/>
      <c r="G64" s="6"/>
      <c r="H64" s="7"/>
    </row>
    <row r="65" spans="2:8" ht="22" customHeight="1" x14ac:dyDescent="0.2">
      <c r="B65" s="14"/>
      <c r="C65" s="49"/>
      <c r="D65" s="49"/>
      <c r="E65" s="8"/>
      <c r="F65" s="5"/>
      <c r="G65" s="6"/>
      <c r="H65" s="7"/>
    </row>
    <row r="66" spans="2:8" ht="22" customHeight="1" x14ac:dyDescent="0.2">
      <c r="B66" s="14"/>
      <c r="C66" s="49"/>
      <c r="D66" s="49"/>
      <c r="E66" s="8"/>
      <c r="F66" s="5"/>
      <c r="G66" s="6"/>
      <c r="H66" s="7"/>
    </row>
    <row r="67" spans="2:8" ht="22" customHeight="1" x14ac:dyDescent="0.2">
      <c r="B67" s="14"/>
      <c r="C67" s="49"/>
      <c r="D67" s="49"/>
      <c r="E67" s="8"/>
      <c r="F67" s="5"/>
      <c r="G67" s="6"/>
      <c r="H67" s="7"/>
    </row>
    <row r="68" spans="2:8" ht="22" customHeight="1" x14ac:dyDescent="0.2">
      <c r="B68" s="14"/>
      <c r="C68" s="49"/>
      <c r="D68" s="49"/>
      <c r="E68" s="8"/>
      <c r="F68" s="5"/>
      <c r="G68" s="6"/>
      <c r="H68" s="7"/>
    </row>
    <row r="69" spans="2:8" ht="22" customHeight="1" x14ac:dyDescent="0.2">
      <c r="B69" s="14"/>
      <c r="C69" s="49"/>
      <c r="D69" s="49"/>
      <c r="E69" s="8"/>
      <c r="F69" s="5"/>
      <c r="G69" s="6"/>
      <c r="H69" s="7"/>
    </row>
    <row r="70" spans="2:8" ht="22" customHeight="1" x14ac:dyDescent="0.2">
      <c r="B70" s="14"/>
      <c r="C70" s="49"/>
      <c r="D70" s="49"/>
      <c r="E70" s="8"/>
      <c r="F70" s="5"/>
      <c r="G70" s="6"/>
      <c r="H70" s="7"/>
    </row>
    <row r="71" spans="2:8" ht="22" customHeight="1" x14ac:dyDescent="0.2">
      <c r="B71" s="14"/>
      <c r="C71" s="49"/>
      <c r="D71" s="49"/>
      <c r="E71" s="8"/>
      <c r="F71" s="5"/>
      <c r="G71" s="6"/>
      <c r="H71" s="7"/>
    </row>
    <row r="72" spans="2:8" ht="22" customHeight="1" x14ac:dyDescent="0.2">
      <c r="B72" s="14"/>
      <c r="C72" s="49"/>
      <c r="D72" s="49"/>
      <c r="E72" s="8"/>
      <c r="F72" s="5"/>
      <c r="G72" s="6"/>
      <c r="H72" s="7"/>
    </row>
    <row r="73" spans="2:8" ht="22" customHeight="1" x14ac:dyDescent="0.2">
      <c r="B73" s="14"/>
      <c r="C73" s="49"/>
      <c r="D73" s="49"/>
      <c r="E73" s="8"/>
      <c r="F73" s="5"/>
      <c r="G73" s="6"/>
      <c r="H73" s="7"/>
    </row>
    <row r="75" spans="2:8" x14ac:dyDescent="0.2">
      <c r="B75" s="118" t="s">
        <v>31</v>
      </c>
      <c r="C75" s="64"/>
      <c r="D75" s="64"/>
      <c r="E75" s="64"/>
      <c r="F75" s="12">
        <f>SUM(F6:F74)</f>
        <v>1910</v>
      </c>
      <c r="G75" s="12">
        <f>SUM(G6:G74)</f>
        <v>971.8</v>
      </c>
      <c r="H75" s="12">
        <f>SUM(H6:H74)</f>
        <v>2881.8</v>
      </c>
    </row>
  </sheetData>
  <mergeCells count="2">
    <mergeCell ref="B75:E75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6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8" customWidth="1"/>
    <col min="3" max="3" width="12" customWidth="1"/>
    <col min="4" max="6" width="16" customWidth="1"/>
    <col min="7" max="7" width="3" customWidth="1"/>
  </cols>
  <sheetData>
    <row r="2" spans="1:7" ht="35" customHeight="1" x14ac:dyDescent="0.2">
      <c r="B2" s="119" t="s">
        <v>32</v>
      </c>
      <c r="C2" s="64"/>
      <c r="D2" s="64"/>
      <c r="E2" s="64"/>
      <c r="F2" s="64"/>
    </row>
    <row r="4" spans="1:7" ht="28" customHeight="1" x14ac:dyDescent="0.2">
      <c r="A4" s="13"/>
      <c r="B4" s="13" t="s">
        <v>7</v>
      </c>
      <c r="C4" s="13" t="s">
        <v>33</v>
      </c>
      <c r="D4" s="13" t="s">
        <v>10</v>
      </c>
      <c r="E4" s="13" t="s">
        <v>11</v>
      </c>
      <c r="F4" s="13" t="s">
        <v>5</v>
      </c>
      <c r="G4" s="13"/>
    </row>
    <row r="6" spans="1:7" ht="22" customHeight="1" x14ac:dyDescent="0.2">
      <c r="B6" s="15" t="s">
        <v>34</v>
      </c>
      <c r="C6" s="16">
        <v>0</v>
      </c>
      <c r="D6" s="5">
        <v>0</v>
      </c>
      <c r="E6" s="6">
        <v>0</v>
      </c>
      <c r="F6" s="7">
        <f t="shared" ref="F6:F14" si="0">D6+E6</f>
        <v>0</v>
      </c>
    </row>
    <row r="7" spans="1:7" ht="22" customHeight="1" x14ac:dyDescent="0.2">
      <c r="B7" s="17" t="s">
        <v>35</v>
      </c>
      <c r="C7" s="16">
        <v>0</v>
      </c>
      <c r="D7" s="5">
        <v>0</v>
      </c>
      <c r="E7" s="6">
        <v>0</v>
      </c>
      <c r="F7" s="7">
        <f t="shared" si="0"/>
        <v>0</v>
      </c>
    </row>
    <row r="8" spans="1:7" ht="22" customHeight="1" x14ac:dyDescent="0.2">
      <c r="B8" s="18" t="s">
        <v>36</v>
      </c>
      <c r="C8" s="16">
        <v>0</v>
      </c>
      <c r="D8" s="5">
        <v>0</v>
      </c>
      <c r="E8" s="6">
        <v>0</v>
      </c>
      <c r="F8" s="7">
        <f t="shared" si="0"/>
        <v>0</v>
      </c>
    </row>
    <row r="9" spans="1:7" ht="22" customHeight="1" x14ac:dyDescent="0.2">
      <c r="B9" s="19" t="s">
        <v>37</v>
      </c>
      <c r="C9" s="16">
        <v>0</v>
      </c>
      <c r="D9" s="5">
        <v>0</v>
      </c>
      <c r="E9" s="6">
        <v>0</v>
      </c>
      <c r="F9" s="7">
        <f t="shared" si="0"/>
        <v>0</v>
      </c>
    </row>
    <row r="10" spans="1:7" ht="22" customHeight="1" x14ac:dyDescent="0.2">
      <c r="B10" s="20" t="s">
        <v>38</v>
      </c>
      <c r="C10" s="16">
        <v>0</v>
      </c>
      <c r="D10" s="5">
        <v>0</v>
      </c>
      <c r="E10" s="6">
        <v>0</v>
      </c>
      <c r="F10" s="7">
        <f t="shared" si="0"/>
        <v>0</v>
      </c>
    </row>
    <row r="11" spans="1:7" ht="22" customHeight="1" x14ac:dyDescent="0.2">
      <c r="B11" s="21" t="s">
        <v>24</v>
      </c>
      <c r="C11" s="16">
        <v>1</v>
      </c>
      <c r="D11" s="5">
        <v>350</v>
      </c>
      <c r="E11" s="6">
        <v>59.5</v>
      </c>
      <c r="F11" s="7">
        <f t="shared" si="0"/>
        <v>409.5</v>
      </c>
    </row>
    <row r="12" spans="1:7" ht="22" customHeight="1" x14ac:dyDescent="0.2">
      <c r="B12" s="22" t="s">
        <v>21</v>
      </c>
      <c r="C12" s="16">
        <v>1</v>
      </c>
      <c r="D12" s="5">
        <v>1200</v>
      </c>
      <c r="E12" s="6">
        <v>678.6</v>
      </c>
      <c r="F12" s="7">
        <f t="shared" si="0"/>
        <v>1878.6</v>
      </c>
    </row>
    <row r="13" spans="1:7" ht="22" customHeight="1" x14ac:dyDescent="0.2">
      <c r="B13" s="23" t="s">
        <v>18</v>
      </c>
      <c r="C13" s="16">
        <v>1</v>
      </c>
      <c r="D13" s="5">
        <v>500</v>
      </c>
      <c r="E13" s="6">
        <v>220</v>
      </c>
      <c r="F13" s="7">
        <f t="shared" si="0"/>
        <v>720</v>
      </c>
    </row>
    <row r="14" spans="1:7" ht="22" customHeight="1" x14ac:dyDescent="0.2">
      <c r="B14" s="24" t="s">
        <v>13</v>
      </c>
      <c r="C14" s="16">
        <v>3</v>
      </c>
      <c r="D14" s="5">
        <v>210</v>
      </c>
      <c r="E14" s="6">
        <v>73.2</v>
      </c>
      <c r="F14" s="7">
        <f t="shared" si="0"/>
        <v>283.2</v>
      </c>
    </row>
    <row r="16" spans="1:7" x14ac:dyDescent="0.2">
      <c r="B16" s="118" t="s">
        <v>39</v>
      </c>
      <c r="C16" s="64"/>
      <c r="D16" s="12">
        <f>SUM(D6:D15)</f>
        <v>2260</v>
      </c>
      <c r="E16" s="12">
        <f>SUM(E6:E15)</f>
        <v>1031.3</v>
      </c>
      <c r="F16" s="12">
        <f>SUM(F6:F15)</f>
        <v>3291.2999999999997</v>
      </c>
    </row>
  </sheetData>
  <mergeCells count="2">
    <mergeCell ref="B2:F2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Detalhamento por Cliente</vt:lpstr>
      <vt:lpstr>Análise por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a12977</cp:lastModifiedBy>
  <dcterms:created xsi:type="dcterms:W3CDTF">2026-05-14T14:56:51Z</dcterms:created>
  <dcterms:modified xsi:type="dcterms:W3CDTF">2026-05-23T18:49:00Z</dcterms:modified>
</cp:coreProperties>
</file>