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karol/Documents/Dashboard-Ativuz/planilhas/"/>
    </mc:Choice>
  </mc:AlternateContent>
  <xr:revisionPtr revIDLastSave="0" documentId="13_ncr:1_{0B34D2CC-F201-9B46-9BBB-4F5B723ED39C}" xr6:coauthVersionLast="47" xr6:coauthVersionMax="47" xr10:uidLastSave="{00000000-0000-0000-0000-000000000000}"/>
  <bookViews>
    <workbookView xWindow="0" yWindow="660" windowWidth="29400" windowHeight="17220" activeTab="1" xr2:uid="{00000000-000D-0000-FFFF-FFFF00000000}"/>
  </bookViews>
  <sheets>
    <sheet name="Resumo Executivo" sheetId="1" r:id="rId1"/>
    <sheet name="Detalhamento por Cliente" sheetId="2" r:id="rId2"/>
    <sheet name="Análise por Etap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16" i="3"/>
  <c r="C16" i="3"/>
  <c r="F14" i="3"/>
  <c r="F13" i="3"/>
  <c r="F12" i="3"/>
  <c r="F11" i="3"/>
  <c r="F10" i="3"/>
  <c r="F9" i="3"/>
  <c r="F8" i="3"/>
  <c r="F7" i="3"/>
  <c r="F6" i="3"/>
  <c r="F16" i="3" s="1"/>
  <c r="C5" i="1"/>
  <c r="H5" i="1"/>
  <c r="E5" i="1"/>
  <c r="B5" i="1"/>
  <c r="H9" i="2"/>
  <c r="H8" i="2"/>
  <c r="H7" i="2"/>
  <c r="H6" i="2"/>
</calcChain>
</file>

<file path=xl/sharedStrings.xml><?xml version="1.0" encoding="utf-8"?>
<sst xmlns="http://schemas.openxmlformats.org/spreadsheetml/2006/main" count="64" uniqueCount="37">
  <si>
    <t>DETALHAMENTO POR CLIENTE — COBRANÇAS EM ABERTO</t>
  </si>
  <si>
    <t>CLIENTE</t>
  </si>
  <si>
    <t>ETAPA</t>
  </si>
  <si>
    <t>DIAS EM ATRASO</t>
  </si>
  <si>
    <t>VENCIMENTO</t>
  </si>
  <si>
    <t>VALOR ORIGINAL</t>
  </si>
  <si>
    <t>JUROS MORA (0,5%/dia)</t>
  </si>
  <si>
    <t>TOTAL ATUALIZADO</t>
  </si>
  <si>
    <t>RICARDO ARAUJO DE MIRANDA</t>
  </si>
  <si>
    <t>D+15</t>
  </si>
  <si>
    <t>08/10/2025</t>
  </si>
  <si>
    <t>LEONARDO GOMES DO NASCIMENTO</t>
  </si>
  <si>
    <t>30/03/2026</t>
  </si>
  <si>
    <t>NOME DO CLIENTE 3</t>
  </si>
  <si>
    <t>D+10</t>
  </si>
  <si>
    <t>15/02/2026</t>
  </si>
  <si>
    <t>NOME DO CLIENTE 4</t>
  </si>
  <si>
    <t>D+7</t>
  </si>
  <si>
    <t>20/01/2026</t>
  </si>
  <si>
    <t>RELATÓRIO DE INADIMPLÊNCIA</t>
  </si>
  <si>
    <t>ATIVUZ VEÍCULOS  ·  Gerado em: 14/05/2026</t>
  </si>
  <si>
    <t>CLIENTES EM ATRASO</t>
  </si>
  <si>
    <t>VALOR ORIGINAL TOTAL</t>
  </si>
  <si>
    <t>TOTAL DE JUROS</t>
  </si>
  <si>
    <t>ATRASO
(dias)</t>
  </si>
  <si>
    <t>JUROS MORA</t>
  </si>
  <si>
    <t>NOME DO CLIENTE 5</t>
  </si>
  <si>
    <t>D+5</t>
  </si>
  <si>
    <t>10/04/2026</t>
  </si>
  <si>
    <t>ANÁLISE POR ETAPA DE COBRANÇA</t>
  </si>
  <si>
    <t>Nº CLIENTES</t>
  </si>
  <si>
    <t>D+0</t>
  </si>
  <si>
    <t>D+1</t>
  </si>
  <si>
    <t>D+2</t>
  </si>
  <si>
    <t>D+3</t>
  </si>
  <si>
    <t>D+4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</si>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</sst>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\R\$\ #,##0.00"/>
  </numFmts>
  <fonts count="21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C3E50"/>
      <name val="Arial"/>
      <family val="2"/>
    </font>
    <font>
      <sz val="9"/>
      <name val="Arial"/>
      <family val="2"/>
    </font>
    <font>
      <b/>
      <sz val="9"/>
      <color rgb="FF2E86C1"/>
      <name val="Arial"/>
      <family val="2"/>
    </font>
    <font>
      <b/>
      <sz val="9"/>
      <color rgb="FFC0392B"/>
      <name val="Arial"/>
      <family val="2"/>
    </font>
    <font>
      <b/>
      <sz val="9"/>
      <color rgb="FF1E8449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sz val="11"/>
      <color theme="1"/>
      <name val="Calibri"/>
      <family val="2"/>
      <scheme val="minor"/>
    </font>
    <font>
      <b/>
      <sz val="9"/>
      <color theme="3"/>
      <name val="Arial"/>
      <family val="2"/>
    </font>
    <font>
      <sz val="11"/>
      <color theme="3"/>
      <name val="Calibri"/>
      <family val="2"/>
      <scheme val="minor"/>
    </font>
    <font>
      <b/>
      <sz val="9"/>
      <color theme="5"/>
      <name val="Arial"/>
      <family val="2"/>
    </font>
    <font>
      <sz val="11"/>
      <color theme="5"/>
      <name val="Calibri"/>
      <family val="2"/>
      <scheme val="minor"/>
    </font>
    <font>
      <b/>
      <sz val="9"/>
      <color rgb="FF00B050"/>
      <name val="Arial"/>
      <family val="2"/>
    </font>
    <font>
      <sz val="11"/>
      <color rgb="FF00B05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0D2340"/>
      </patternFill>
    </fill>
    <fill>
      <patternFill patternType="solid">
        <fgColor rgb="FF1A527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27AE60"/>
      </patternFill>
    </fill>
    <fill>
      <patternFill patternType="solid">
        <fgColor rgb="FF2ECC71"/>
      </patternFill>
    </fill>
    <fill>
      <patternFill patternType="solid">
        <fgColor rgb="FFF1C40F"/>
      </patternFill>
    </fill>
    <fill>
      <patternFill patternType="solid">
        <fgColor rgb="FFE74C3C"/>
      </patternFill>
    </fill>
    <fill>
      <patternFill patternType="solid">
        <fgColor rgb="FF922B21"/>
      </patternFill>
    </fill>
    <fill>
      <patternFill patternType="solid">
        <fgColor rgb="FF7B241C"/>
      </patternFill>
    </fill>
    <fill>
      <patternFill patternType="solid">
        <fgColor rgb="FF641E16"/>
      </patternFill>
    </fill>
    <fill>
      <patternFill patternType="solid">
        <fgColor theme="0"/>
        <bgColor indexed="64"/>
      </patternFill>
    </fill>
    <fill>
      <patternFill patternType="solid">
        <fgColor rgb="FFD7EAF9"/>
        <bgColor indexed="64"/>
      </patternFill>
    </fill>
    <fill>
      <patternFill patternType="solid">
        <fgColor rgb="FFFBDBD9"/>
        <bgColor indexed="64"/>
      </patternFill>
    </fill>
    <fill>
      <patternFill patternType="solid">
        <fgColor rgb="FFD5F5E3"/>
        <bgColor indexed="64"/>
      </patternFill>
    </fill>
  </fills>
  <borders count="9">
    <border>
      <left/>
      <right/>
      <top/>
      <bottom/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/>
      <bottom/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theme="0" tint="-0.249977111117893"/>
      </right>
      <top/>
      <bottom/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 style="thin">
        <color rgb="FFBDBDBD"/>
      </right>
      <top style="thin">
        <color rgb="FFBDBDBD"/>
      </top>
      <bottom/>
      <diagonal/>
    </border>
  </borders>
  <cellStyleXfs count="2">
    <xf numFmtId="0" fontId="0" fillId="0" borderId="0"/>
    <xf numFmtId="44" fontId="14" fillId="0" borderId="0"/>
  </cellStyleXfs>
  <cellXfs count="61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164" fontId="5" fillId="8" borderId="2" xfId="0" applyNumberFormat="1" applyFont="1" applyFill="1" applyBorder="1" applyAlignment="1">
      <alignment horizontal="right" vertical="center"/>
    </xf>
    <xf numFmtId="164" fontId="6" fillId="9" borderId="2" xfId="0" applyNumberFormat="1" applyFont="1" applyFill="1" applyBorder="1" applyAlignment="1">
      <alignment horizontal="right" vertical="center"/>
    </xf>
    <xf numFmtId="164" fontId="7" fillId="10" borderId="2" xfId="0" applyNumberFormat="1" applyFont="1" applyFill="1" applyBorder="1" applyAlignment="1">
      <alignment horizontal="right" vertical="center"/>
    </xf>
    <xf numFmtId="164" fontId="8" fillId="2" borderId="1" xfId="0" applyNumberFormat="1" applyFont="1" applyFill="1" applyBorder="1" applyAlignment="1">
      <alignment horizontal="right" vertical="center"/>
    </xf>
    <xf numFmtId="0" fontId="2" fillId="4" borderId="2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0" fontId="8" fillId="18" borderId="2" xfId="0" applyFont="1" applyFill="1" applyBorder="1" applyAlignment="1">
      <alignment horizontal="center" vertical="center"/>
    </xf>
    <xf numFmtId="0" fontId="8" fillId="19" borderId="2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" fontId="11" fillId="4" borderId="0" xfId="0" applyNumberFormat="1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0" fillId="0" borderId="0" xfId="0"/>
    <xf numFmtId="164" fontId="11" fillId="6" borderId="7" xfId="0" applyNumberFormat="1" applyFont="1" applyFill="1" applyBorder="1" applyAlignment="1">
      <alignment horizontal="center" vertical="center"/>
    </xf>
    <xf numFmtId="0" fontId="0" fillId="0" borderId="4" xfId="0" applyBorder="1"/>
    <xf numFmtId="0" fontId="11" fillId="6" borderId="7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164" fontId="11" fillId="7" borderId="3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164" fontId="11" fillId="5" borderId="0" xfId="0" applyNumberFormat="1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Border="1"/>
    <xf numFmtId="0" fontId="3" fillId="20" borderId="0" xfId="0" applyFont="1" applyFill="1" applyBorder="1" applyAlignment="1">
      <alignment vertical="center"/>
    </xf>
    <xf numFmtId="0" fontId="2" fillId="5" borderId="0" xfId="0" applyFont="1" applyFill="1" applyBorder="1" applyAlignment="1">
      <alignment horizontal="center" vertical="center"/>
    </xf>
    <xf numFmtId="0" fontId="4" fillId="20" borderId="0" xfId="0" applyFont="1" applyFill="1" applyBorder="1" applyAlignment="1">
      <alignment horizontal="center" vertical="center"/>
    </xf>
    <xf numFmtId="44" fontId="15" fillId="21" borderId="0" xfId="1" applyFont="1" applyFill="1" applyBorder="1" applyAlignment="1">
      <alignment horizontal="center" vertical="center"/>
    </xf>
    <xf numFmtId="0" fontId="0" fillId="0" borderId="0" xfId="0" applyBorder="1"/>
    <xf numFmtId="44" fontId="6" fillId="9" borderId="0" xfId="1" applyFont="1" applyFill="1" applyBorder="1" applyAlignment="1">
      <alignment horizontal="right" vertical="center"/>
    </xf>
    <xf numFmtId="44" fontId="19" fillId="10" borderId="0" xfId="1" applyFont="1" applyFill="1" applyBorder="1" applyAlignment="1">
      <alignment horizontal="right" vertical="center"/>
    </xf>
    <xf numFmtId="0" fontId="3" fillId="11" borderId="0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44" fontId="17" fillId="9" borderId="0" xfId="1" applyFont="1" applyFill="1" applyBorder="1" applyAlignment="1">
      <alignment horizontal="right" vertical="center"/>
    </xf>
    <xf numFmtId="44" fontId="19" fillId="23" borderId="0" xfId="1" applyFont="1" applyFill="1" applyBorder="1" applyAlignment="1">
      <alignment horizontal="right" vertical="center"/>
    </xf>
    <xf numFmtId="0" fontId="0" fillId="20" borderId="0" xfId="0" applyFill="1" applyBorder="1"/>
    <xf numFmtId="0" fontId="16" fillId="21" borderId="0" xfId="0" applyFont="1" applyFill="1" applyBorder="1" applyAlignment="1">
      <alignment horizontal="center"/>
    </xf>
    <xf numFmtId="0" fontId="18" fillId="22" borderId="0" xfId="0" applyFont="1" applyFill="1" applyBorder="1"/>
    <xf numFmtId="0" fontId="20" fillId="23" borderId="0" xfId="0" applyFont="1" applyFill="1" applyBorder="1"/>
    <xf numFmtId="0" fontId="16" fillId="21" borderId="0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 wrapText="1"/>
    </xf>
    <xf numFmtId="0" fontId="9" fillId="20" borderId="0" xfId="0" applyFont="1" applyFill="1" applyBorder="1" applyAlignment="1">
      <alignment vertical="center"/>
    </xf>
    <xf numFmtId="44" fontId="5" fillId="8" borderId="0" xfId="1" applyFont="1" applyFill="1" applyBorder="1" applyAlignment="1">
      <alignment horizontal="right" vertical="center"/>
    </xf>
    <xf numFmtId="44" fontId="7" fillId="10" borderId="0" xfId="1" applyFont="1" applyFill="1" applyBorder="1" applyAlignment="1">
      <alignment horizontal="right" vertical="center"/>
    </xf>
    <xf numFmtId="0" fontId="9" fillId="12" borderId="0" xfId="0" applyFont="1" applyFill="1" applyBorder="1" applyAlignment="1">
      <alignment vertical="center"/>
    </xf>
    <xf numFmtId="0" fontId="2" fillId="20" borderId="0" xfId="0" applyFont="1" applyFill="1" applyBorder="1" applyAlignment="1">
      <alignment horizontal="center" vertical="center"/>
    </xf>
    <xf numFmtId="164" fontId="5" fillId="8" borderId="0" xfId="0" applyNumberFormat="1" applyFont="1" applyFill="1" applyBorder="1" applyAlignment="1">
      <alignment horizontal="right" vertical="center"/>
    </xf>
    <xf numFmtId="164" fontId="6" fillId="9" borderId="0" xfId="0" applyNumberFormat="1" applyFont="1" applyFill="1" applyBorder="1" applyAlignment="1">
      <alignment horizontal="right" vertical="center"/>
    </xf>
    <xf numFmtId="164" fontId="7" fillId="10" borderId="0" xfId="0" applyNumberFormat="1" applyFont="1" applyFill="1" applyBorder="1" applyAlignment="1">
      <alignment horizontal="right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showGridLines="0" zoomScale="75" zoomScaleNormal="124" workbookViewId="0">
      <pane ySplit="6" topLeftCell="A7" activePane="bottomLeft" state="frozen"/>
      <selection pane="bottomLeft" activeCell="B21" sqref="B21"/>
    </sheetView>
  </sheetViews>
  <sheetFormatPr baseColWidth="10" defaultColWidth="8.83203125" defaultRowHeight="15" x14ac:dyDescent="0.2"/>
  <cols>
    <col min="2" max="2" width="40.6640625" customWidth="1"/>
    <col min="3" max="3" width="24.33203125" customWidth="1"/>
    <col min="4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29.6640625" customWidth="1"/>
  </cols>
  <sheetData>
    <row r="1" spans="1:9" ht="8" customHeight="1" x14ac:dyDescent="0.2">
      <c r="A1" s="20"/>
    </row>
    <row r="2" spans="1:9" ht="40" customHeight="1" x14ac:dyDescent="0.2">
      <c r="A2" s="20"/>
      <c r="B2" s="23" t="s">
        <v>19</v>
      </c>
      <c r="C2" s="24"/>
      <c r="D2" s="24"/>
      <c r="E2" s="24"/>
      <c r="F2" s="24"/>
      <c r="G2" s="24"/>
      <c r="H2" s="24"/>
      <c r="I2" s="24"/>
    </row>
    <row r="3" spans="1:9" ht="20" customHeight="1" x14ac:dyDescent="0.2">
      <c r="A3" s="20"/>
      <c r="B3" s="28" t="s">
        <v>20</v>
      </c>
      <c r="C3" s="24"/>
      <c r="D3" s="24"/>
      <c r="E3" s="24"/>
      <c r="F3" s="24"/>
      <c r="G3" s="24"/>
      <c r="H3" s="24"/>
      <c r="I3" s="24"/>
    </row>
    <row r="4" spans="1:9" ht="25" customHeight="1" x14ac:dyDescent="0.2">
      <c r="A4" s="20"/>
      <c r="B4" s="17" t="s">
        <v>21</v>
      </c>
      <c r="C4" s="33" t="s">
        <v>22</v>
      </c>
      <c r="D4" s="24"/>
      <c r="E4" s="27" t="s">
        <v>23</v>
      </c>
      <c r="F4" s="24"/>
      <c r="G4" s="26"/>
      <c r="H4" s="29" t="s">
        <v>7</v>
      </c>
      <c r="I4" s="24"/>
    </row>
    <row r="5" spans="1:9" ht="25" customHeight="1" x14ac:dyDescent="0.2">
      <c r="A5" s="20"/>
      <c r="B5" s="18">
        <f>COUNTA(C9:C77)</f>
        <v>5</v>
      </c>
      <c r="C5" s="32">
        <f>SUM(F9:F77)</f>
        <v>2260</v>
      </c>
      <c r="D5" s="24"/>
      <c r="E5" s="25">
        <f>SUM(H9:H77)</f>
        <v>1031.3</v>
      </c>
      <c r="F5" s="24"/>
      <c r="G5" s="26"/>
      <c r="H5" s="30">
        <f>SUM(I9:I77)</f>
        <v>3291.3</v>
      </c>
      <c r="I5" s="24"/>
    </row>
    <row r="6" spans="1:9" ht="10" customHeight="1" x14ac:dyDescent="0.2">
      <c r="A6" s="20"/>
    </row>
    <row r="7" spans="1:9" ht="30" customHeight="1" x14ac:dyDescent="0.2">
      <c r="A7" s="20"/>
      <c r="B7" s="52" t="s">
        <v>1</v>
      </c>
      <c r="C7" s="1" t="s">
        <v>2</v>
      </c>
      <c r="D7" s="1" t="s">
        <v>4</v>
      </c>
      <c r="E7" s="1" t="s">
        <v>24</v>
      </c>
      <c r="F7" s="31" t="s">
        <v>5</v>
      </c>
      <c r="G7" s="26"/>
      <c r="H7" s="1" t="s">
        <v>25</v>
      </c>
      <c r="I7" s="19" t="s">
        <v>7</v>
      </c>
    </row>
    <row r="8" spans="1:9" ht="18" customHeight="1" x14ac:dyDescent="0.2">
      <c r="A8" s="35"/>
      <c r="B8" s="35"/>
      <c r="F8" s="35"/>
      <c r="G8" s="35"/>
    </row>
    <row r="9" spans="1:9" ht="22" customHeight="1" x14ac:dyDescent="0.2">
      <c r="A9" s="35"/>
      <c r="B9" s="36" t="s">
        <v>8</v>
      </c>
      <c r="C9" s="37" t="s">
        <v>9</v>
      </c>
      <c r="D9" s="38" t="s">
        <v>10</v>
      </c>
      <c r="E9" s="37">
        <v>218</v>
      </c>
      <c r="F9" s="39">
        <v>30</v>
      </c>
      <c r="G9" s="40"/>
      <c r="H9" s="41">
        <v>32.700000000000003</v>
      </c>
      <c r="I9" s="42">
        <v>62.7</v>
      </c>
    </row>
    <row r="10" spans="1:9" ht="22" customHeight="1" x14ac:dyDescent="0.2">
      <c r="A10" s="35"/>
      <c r="B10" s="36" t="s">
        <v>11</v>
      </c>
      <c r="C10" s="37" t="s">
        <v>9</v>
      </c>
      <c r="D10" s="38" t="s">
        <v>12</v>
      </c>
      <c r="E10" s="43">
        <v>45</v>
      </c>
      <c r="F10" s="39">
        <v>180</v>
      </c>
      <c r="G10" s="40"/>
      <c r="H10" s="41">
        <v>40.5</v>
      </c>
      <c r="I10" s="42">
        <v>220.5</v>
      </c>
    </row>
    <row r="11" spans="1:9" ht="22" customHeight="1" x14ac:dyDescent="0.2">
      <c r="A11" s="35"/>
      <c r="B11" s="36" t="s">
        <v>13</v>
      </c>
      <c r="C11" s="37" t="s">
        <v>14</v>
      </c>
      <c r="D11" s="38" t="s">
        <v>15</v>
      </c>
      <c r="E11" s="44">
        <v>88</v>
      </c>
      <c r="F11" s="39">
        <v>500</v>
      </c>
      <c r="G11" s="40"/>
      <c r="H11" s="41">
        <v>220</v>
      </c>
      <c r="I11" s="42">
        <v>720</v>
      </c>
    </row>
    <row r="12" spans="1:9" ht="22" customHeight="1" x14ac:dyDescent="0.2">
      <c r="A12" s="35"/>
      <c r="B12" s="36" t="s">
        <v>16</v>
      </c>
      <c r="C12" s="37" t="s">
        <v>17</v>
      </c>
      <c r="D12" s="38" t="s">
        <v>18</v>
      </c>
      <c r="E12" s="44">
        <v>113</v>
      </c>
      <c r="F12" s="39">
        <v>1200</v>
      </c>
      <c r="G12" s="40"/>
      <c r="H12" s="41">
        <v>678.6</v>
      </c>
      <c r="I12" s="42">
        <v>1878.6</v>
      </c>
    </row>
    <row r="13" spans="1:9" ht="22" customHeight="1" x14ac:dyDescent="0.2">
      <c r="A13" s="35"/>
      <c r="B13" s="36" t="s">
        <v>26</v>
      </c>
      <c r="C13" s="37" t="s">
        <v>27</v>
      </c>
      <c r="D13" s="38" t="s">
        <v>28</v>
      </c>
      <c r="E13" s="43">
        <v>34</v>
      </c>
      <c r="F13" s="39">
        <v>350</v>
      </c>
      <c r="G13" s="40"/>
      <c r="H13" s="45">
        <v>59.5</v>
      </c>
      <c r="I13" s="46">
        <v>409.5</v>
      </c>
    </row>
    <row r="14" spans="1:9" ht="18" customHeight="1" x14ac:dyDescent="0.2">
      <c r="A14" s="35"/>
      <c r="B14" s="47"/>
      <c r="C14" s="47"/>
      <c r="D14" s="47"/>
      <c r="E14" s="47"/>
      <c r="F14" s="48"/>
      <c r="G14" s="40"/>
      <c r="H14" s="49"/>
      <c r="I14" s="50"/>
    </row>
    <row r="15" spans="1:9" ht="18" customHeight="1" x14ac:dyDescent="0.2">
      <c r="A15" s="35"/>
      <c r="B15" s="47"/>
      <c r="C15" s="47"/>
      <c r="D15" s="47"/>
      <c r="E15" s="47"/>
      <c r="F15" s="48"/>
      <c r="G15" s="40"/>
      <c r="H15" s="49"/>
      <c r="I15" s="50"/>
    </row>
    <row r="16" spans="1:9" ht="18" customHeight="1" x14ac:dyDescent="0.2">
      <c r="A16" s="35"/>
      <c r="B16" s="47"/>
      <c r="C16" s="47"/>
      <c r="D16" s="47"/>
      <c r="E16" s="47"/>
      <c r="F16" s="48"/>
      <c r="G16" s="40"/>
      <c r="H16" s="49"/>
      <c r="I16" s="50"/>
    </row>
    <row r="17" spans="1:9" ht="18" customHeight="1" x14ac:dyDescent="0.2">
      <c r="A17" s="35"/>
      <c r="B17" s="47"/>
      <c r="C17" s="47"/>
      <c r="D17" s="47"/>
      <c r="E17" s="47"/>
      <c r="F17" s="48"/>
      <c r="G17" s="40"/>
      <c r="H17" s="49"/>
      <c r="I17" s="50"/>
    </row>
    <row r="18" spans="1:9" ht="18" customHeight="1" x14ac:dyDescent="0.2">
      <c r="A18" s="35"/>
      <c r="B18" s="47"/>
      <c r="C18" s="47"/>
      <c r="D18" s="47"/>
      <c r="E18" s="47"/>
      <c r="F18" s="48"/>
      <c r="G18" s="40"/>
      <c r="H18" s="49"/>
      <c r="I18" s="50"/>
    </row>
    <row r="19" spans="1:9" ht="18" customHeight="1" x14ac:dyDescent="0.2">
      <c r="A19" s="35"/>
      <c r="B19" s="47"/>
      <c r="C19" s="47"/>
      <c r="D19" s="47"/>
      <c r="E19" s="47"/>
      <c r="F19" s="48"/>
      <c r="G19" s="40"/>
      <c r="H19" s="49"/>
      <c r="I19" s="50"/>
    </row>
    <row r="20" spans="1:9" ht="18" customHeight="1" x14ac:dyDescent="0.2">
      <c r="A20" s="35"/>
      <c r="B20" s="47"/>
      <c r="C20" s="47"/>
      <c r="D20" s="47"/>
      <c r="E20" s="47"/>
      <c r="F20" s="48"/>
      <c r="G20" s="40"/>
      <c r="H20" s="49"/>
      <c r="I20" s="50"/>
    </row>
    <row r="21" spans="1:9" ht="18" customHeight="1" x14ac:dyDescent="0.2">
      <c r="A21" s="35"/>
      <c r="B21" s="47"/>
      <c r="C21" s="47"/>
      <c r="D21" s="47"/>
      <c r="E21" s="47"/>
      <c r="F21" s="48"/>
      <c r="G21" s="40"/>
      <c r="H21" s="49"/>
      <c r="I21" s="50"/>
    </row>
    <row r="22" spans="1:9" ht="18" customHeight="1" x14ac:dyDescent="0.2">
      <c r="A22" s="35"/>
      <c r="B22" s="47"/>
      <c r="C22" s="47"/>
      <c r="D22" s="47"/>
      <c r="E22" s="47"/>
      <c r="F22" s="48"/>
      <c r="G22" s="40"/>
      <c r="H22" s="49"/>
      <c r="I22" s="50"/>
    </row>
    <row r="23" spans="1:9" ht="18" customHeight="1" x14ac:dyDescent="0.2">
      <c r="A23" s="35"/>
      <c r="B23" s="47"/>
      <c r="C23" s="47"/>
      <c r="D23" s="47"/>
      <c r="E23" s="47"/>
      <c r="F23" s="48"/>
      <c r="G23" s="40"/>
      <c r="H23" s="49"/>
      <c r="I23" s="50"/>
    </row>
    <row r="24" spans="1:9" ht="18" customHeight="1" x14ac:dyDescent="0.2">
      <c r="A24" s="35"/>
      <c r="B24" s="47"/>
      <c r="C24" s="47"/>
      <c r="D24" s="47"/>
      <c r="E24" s="47"/>
      <c r="F24" s="48"/>
      <c r="G24" s="40"/>
      <c r="H24" s="49"/>
      <c r="I24" s="50"/>
    </row>
    <row r="25" spans="1:9" ht="18" customHeight="1" x14ac:dyDescent="0.2">
      <c r="A25" s="35"/>
      <c r="B25" s="47"/>
      <c r="C25" s="47"/>
      <c r="D25" s="47"/>
      <c r="E25" s="47"/>
      <c r="F25" s="48"/>
      <c r="G25" s="40"/>
      <c r="H25" s="49"/>
      <c r="I25" s="50"/>
    </row>
    <row r="26" spans="1:9" ht="18" customHeight="1" x14ac:dyDescent="0.2">
      <c r="A26" s="35"/>
      <c r="B26" s="47"/>
      <c r="C26" s="47"/>
      <c r="D26" s="47"/>
      <c r="E26" s="47"/>
      <c r="F26" s="48"/>
      <c r="G26" s="40"/>
      <c r="H26" s="49"/>
      <c r="I26" s="50"/>
    </row>
    <row r="27" spans="1:9" ht="18" customHeight="1" x14ac:dyDescent="0.2">
      <c r="A27" s="35"/>
      <c r="B27" s="47"/>
      <c r="C27" s="47"/>
      <c r="D27" s="47"/>
      <c r="E27" s="47"/>
      <c r="F27" s="48"/>
      <c r="G27" s="40"/>
      <c r="H27" s="49"/>
      <c r="I27" s="50"/>
    </row>
    <row r="28" spans="1:9" ht="18" customHeight="1" x14ac:dyDescent="0.2">
      <c r="A28" s="35"/>
      <c r="B28" s="47"/>
      <c r="C28" s="47"/>
      <c r="D28" s="47"/>
      <c r="E28" s="47"/>
      <c r="F28" s="48"/>
      <c r="G28" s="40"/>
      <c r="H28" s="49"/>
      <c r="I28" s="50"/>
    </row>
    <row r="29" spans="1:9" ht="18" customHeight="1" x14ac:dyDescent="0.2">
      <c r="A29" s="35"/>
      <c r="B29" s="47"/>
      <c r="C29" s="47"/>
      <c r="D29" s="47"/>
      <c r="E29" s="47"/>
      <c r="F29" s="48"/>
      <c r="G29" s="40"/>
      <c r="H29" s="49"/>
      <c r="I29" s="50"/>
    </row>
    <row r="30" spans="1:9" ht="18" customHeight="1" x14ac:dyDescent="0.2">
      <c r="A30" s="35"/>
      <c r="B30" s="47"/>
      <c r="C30" s="47"/>
      <c r="D30" s="47"/>
      <c r="E30" s="47"/>
      <c r="F30" s="48"/>
      <c r="G30" s="40"/>
      <c r="H30" s="49"/>
      <c r="I30" s="50"/>
    </row>
    <row r="31" spans="1:9" ht="18" customHeight="1" x14ac:dyDescent="0.2">
      <c r="A31" s="35"/>
      <c r="B31" s="47"/>
      <c r="C31" s="47"/>
      <c r="D31" s="47"/>
      <c r="E31" s="47"/>
      <c r="F31" s="48"/>
      <c r="G31" s="40"/>
      <c r="H31" s="49"/>
      <c r="I31" s="50"/>
    </row>
    <row r="32" spans="1:9" ht="18" customHeight="1" x14ac:dyDescent="0.2">
      <c r="A32" s="35"/>
      <c r="B32" s="47"/>
      <c r="C32" s="47"/>
      <c r="D32" s="47"/>
      <c r="E32" s="47"/>
      <c r="F32" s="48"/>
      <c r="G32" s="40"/>
      <c r="H32" s="49"/>
      <c r="I32" s="50"/>
    </row>
    <row r="33" spans="1:9" ht="18" customHeight="1" x14ac:dyDescent="0.2">
      <c r="A33" s="35"/>
      <c r="B33" s="47"/>
      <c r="C33" s="47"/>
      <c r="D33" s="47"/>
      <c r="E33" s="47"/>
      <c r="F33" s="48"/>
      <c r="G33" s="40"/>
      <c r="H33" s="49"/>
      <c r="I33" s="50"/>
    </row>
    <row r="34" spans="1:9" ht="18" customHeight="1" x14ac:dyDescent="0.2">
      <c r="A34" s="35"/>
      <c r="B34" s="47"/>
      <c r="C34" s="47"/>
      <c r="D34" s="47"/>
      <c r="E34" s="47"/>
      <c r="F34" s="48"/>
      <c r="G34" s="40"/>
      <c r="H34" s="49"/>
      <c r="I34" s="50"/>
    </row>
    <row r="35" spans="1:9" ht="18" customHeight="1" x14ac:dyDescent="0.2">
      <c r="A35" s="35"/>
      <c r="B35" s="47"/>
      <c r="C35" s="47"/>
      <c r="D35" s="47"/>
      <c r="E35" s="47"/>
      <c r="F35" s="48"/>
      <c r="G35" s="40"/>
      <c r="H35" s="49"/>
      <c r="I35" s="50"/>
    </row>
    <row r="36" spans="1:9" ht="18" customHeight="1" x14ac:dyDescent="0.2">
      <c r="A36" s="35"/>
      <c r="B36" s="47"/>
      <c r="C36" s="47"/>
      <c r="D36" s="47"/>
      <c r="E36" s="47"/>
      <c r="F36" s="48"/>
      <c r="G36" s="40"/>
      <c r="H36" s="49"/>
      <c r="I36" s="50"/>
    </row>
    <row r="37" spans="1:9" ht="18" customHeight="1" x14ac:dyDescent="0.2">
      <c r="A37" s="35"/>
      <c r="B37" s="47"/>
      <c r="C37" s="47"/>
      <c r="D37" s="47"/>
      <c r="E37" s="47"/>
      <c r="F37" s="48"/>
      <c r="G37" s="40"/>
      <c r="H37" s="49"/>
      <c r="I37" s="50"/>
    </row>
    <row r="38" spans="1:9" ht="18" customHeight="1" x14ac:dyDescent="0.2">
      <c r="A38" s="35"/>
      <c r="B38" s="47"/>
      <c r="C38" s="47"/>
      <c r="D38" s="47"/>
      <c r="E38" s="47"/>
      <c r="F38" s="48"/>
      <c r="G38" s="40"/>
      <c r="H38" s="49"/>
      <c r="I38" s="50"/>
    </row>
    <row r="39" spans="1:9" ht="18" customHeight="1" x14ac:dyDescent="0.2">
      <c r="A39" s="35"/>
      <c r="B39" s="47"/>
      <c r="C39" s="47"/>
      <c r="D39" s="47"/>
      <c r="E39" s="47"/>
      <c r="F39" s="48"/>
      <c r="G39" s="40"/>
      <c r="H39" s="49"/>
      <c r="I39" s="50"/>
    </row>
    <row r="40" spans="1:9" ht="18" customHeight="1" x14ac:dyDescent="0.2">
      <c r="A40" s="35"/>
      <c r="B40" s="47"/>
      <c r="C40" s="47"/>
      <c r="D40" s="47"/>
      <c r="E40" s="47"/>
      <c r="F40" s="48"/>
      <c r="G40" s="40"/>
      <c r="H40" s="49"/>
      <c r="I40" s="50"/>
    </row>
    <row r="41" spans="1:9" ht="18" customHeight="1" x14ac:dyDescent="0.2">
      <c r="A41" s="35"/>
      <c r="B41" s="47"/>
      <c r="C41" s="47"/>
      <c r="D41" s="47"/>
      <c r="E41" s="47"/>
      <c r="F41" s="48"/>
      <c r="G41" s="40"/>
      <c r="H41" s="49"/>
      <c r="I41" s="50"/>
    </row>
    <row r="42" spans="1:9" ht="18" customHeight="1" x14ac:dyDescent="0.2">
      <c r="A42" s="35"/>
      <c r="B42" s="47"/>
      <c r="C42" s="47"/>
      <c r="D42" s="47"/>
      <c r="E42" s="47"/>
      <c r="F42" s="48"/>
      <c r="G42" s="40"/>
      <c r="H42" s="49"/>
      <c r="I42" s="50"/>
    </row>
    <row r="43" spans="1:9" ht="18" customHeight="1" x14ac:dyDescent="0.2">
      <c r="A43" s="35"/>
      <c r="B43" s="47"/>
      <c r="C43" s="47"/>
      <c r="D43" s="47"/>
      <c r="E43" s="47"/>
      <c r="F43" s="48"/>
      <c r="G43" s="40"/>
      <c r="H43" s="49"/>
      <c r="I43" s="50"/>
    </row>
    <row r="44" spans="1:9" ht="18" customHeight="1" x14ac:dyDescent="0.2">
      <c r="A44" s="35"/>
      <c r="B44" s="47"/>
      <c r="C44" s="47"/>
      <c r="D44" s="47"/>
      <c r="E44" s="47"/>
      <c r="F44" s="48"/>
      <c r="G44" s="40"/>
      <c r="H44" s="49"/>
      <c r="I44" s="50"/>
    </row>
    <row r="45" spans="1:9" ht="18" customHeight="1" x14ac:dyDescent="0.2">
      <c r="A45" s="35"/>
      <c r="B45" s="47"/>
      <c r="C45" s="47"/>
      <c r="D45" s="47"/>
      <c r="E45" s="47"/>
      <c r="F45" s="48"/>
      <c r="G45" s="40"/>
      <c r="H45" s="49"/>
      <c r="I45" s="50"/>
    </row>
    <row r="46" spans="1:9" ht="18" customHeight="1" x14ac:dyDescent="0.2">
      <c r="A46" s="35"/>
      <c r="B46" s="47"/>
      <c r="C46" s="47"/>
      <c r="D46" s="47"/>
      <c r="E46" s="47"/>
      <c r="F46" s="48"/>
      <c r="G46" s="40"/>
      <c r="H46" s="49"/>
      <c r="I46" s="50"/>
    </row>
    <row r="47" spans="1:9" ht="18" customHeight="1" x14ac:dyDescent="0.2">
      <c r="A47" s="35"/>
      <c r="B47" s="47"/>
      <c r="C47" s="47"/>
      <c r="D47" s="47"/>
      <c r="E47" s="47"/>
      <c r="F47" s="48"/>
      <c r="G47" s="40"/>
      <c r="H47" s="49"/>
      <c r="I47" s="50"/>
    </row>
    <row r="48" spans="1:9" ht="18" customHeight="1" x14ac:dyDescent="0.2">
      <c r="A48" s="35"/>
      <c r="B48" s="47"/>
      <c r="C48" s="47"/>
      <c r="D48" s="47"/>
      <c r="E48" s="47"/>
      <c r="F48" s="48"/>
      <c r="G48" s="40"/>
      <c r="H48" s="49"/>
      <c r="I48" s="50"/>
    </row>
    <row r="49" spans="1:9" ht="18" customHeight="1" x14ac:dyDescent="0.2">
      <c r="A49" s="35"/>
      <c r="B49" s="47"/>
      <c r="C49" s="47"/>
      <c r="D49" s="47"/>
      <c r="E49" s="47"/>
      <c r="F49" s="48"/>
      <c r="G49" s="40"/>
      <c r="H49" s="49"/>
      <c r="I49" s="50"/>
    </row>
    <row r="50" spans="1:9" ht="18" customHeight="1" x14ac:dyDescent="0.2">
      <c r="A50" s="35"/>
      <c r="B50" s="47"/>
      <c r="C50" s="47"/>
      <c r="D50" s="47"/>
      <c r="E50" s="47"/>
      <c r="F50" s="48"/>
      <c r="G50" s="40"/>
      <c r="H50" s="49"/>
      <c r="I50" s="50"/>
    </row>
    <row r="51" spans="1:9" ht="18" customHeight="1" x14ac:dyDescent="0.2">
      <c r="A51" s="35"/>
      <c r="B51" s="47"/>
      <c r="C51" s="47"/>
      <c r="D51" s="47"/>
      <c r="E51" s="47"/>
      <c r="F51" s="48"/>
      <c r="G51" s="40"/>
      <c r="H51" s="49"/>
      <c r="I51" s="50"/>
    </row>
    <row r="52" spans="1:9" ht="18" customHeight="1" x14ac:dyDescent="0.2">
      <c r="A52" s="35"/>
      <c r="B52" s="47"/>
      <c r="C52" s="47"/>
      <c r="D52" s="47"/>
      <c r="E52" s="47"/>
      <c r="F52" s="48"/>
      <c r="G52" s="40"/>
      <c r="H52" s="49"/>
      <c r="I52" s="50"/>
    </row>
    <row r="53" spans="1:9" ht="18" customHeight="1" x14ac:dyDescent="0.2">
      <c r="A53" s="35"/>
      <c r="B53" s="47"/>
      <c r="C53" s="47"/>
      <c r="D53" s="47"/>
      <c r="E53" s="47"/>
      <c r="F53" s="48"/>
      <c r="G53" s="40"/>
      <c r="H53" s="49"/>
      <c r="I53" s="50"/>
    </row>
    <row r="54" spans="1:9" ht="18" customHeight="1" x14ac:dyDescent="0.2">
      <c r="A54" s="35"/>
      <c r="B54" s="47"/>
      <c r="C54" s="47"/>
      <c r="D54" s="47"/>
      <c r="E54" s="47"/>
      <c r="F54" s="51"/>
      <c r="G54" s="51"/>
      <c r="H54" s="49"/>
      <c r="I54" s="50"/>
    </row>
    <row r="55" spans="1:9" ht="18" customHeight="1" x14ac:dyDescent="0.2">
      <c r="A55" s="35"/>
      <c r="B55" s="47"/>
      <c r="C55" s="47"/>
      <c r="D55" s="47"/>
      <c r="E55" s="47"/>
      <c r="F55" s="51"/>
      <c r="G55" s="51"/>
      <c r="H55" s="49"/>
      <c r="I55" s="50"/>
    </row>
    <row r="56" spans="1:9" ht="18" customHeight="1" x14ac:dyDescent="0.2">
      <c r="A56" s="35"/>
      <c r="B56" s="47"/>
      <c r="C56" s="47"/>
      <c r="D56" s="47"/>
      <c r="E56" s="47"/>
      <c r="F56" s="51"/>
      <c r="G56" s="51"/>
      <c r="H56" s="49"/>
      <c r="I56" s="50"/>
    </row>
    <row r="57" spans="1:9" ht="18" customHeight="1" x14ac:dyDescent="0.2">
      <c r="A57" s="35"/>
      <c r="B57" s="47"/>
      <c r="C57" s="47"/>
      <c r="D57" s="47"/>
      <c r="E57" s="47"/>
      <c r="F57" s="51"/>
      <c r="G57" s="51"/>
      <c r="H57" s="49"/>
      <c r="I57" s="50"/>
    </row>
    <row r="58" spans="1:9" ht="18" customHeight="1" x14ac:dyDescent="0.2">
      <c r="A58" s="35"/>
      <c r="B58" s="47"/>
      <c r="C58" s="47"/>
      <c r="D58" s="47"/>
      <c r="E58" s="47"/>
      <c r="F58" s="51"/>
      <c r="G58" s="51"/>
      <c r="H58" s="49"/>
      <c r="I58" s="50"/>
    </row>
    <row r="59" spans="1:9" ht="18" customHeight="1" x14ac:dyDescent="0.2">
      <c r="A59" s="35"/>
      <c r="B59" s="47"/>
      <c r="C59" s="47"/>
      <c r="D59" s="47"/>
      <c r="E59" s="47"/>
      <c r="F59" s="51"/>
      <c r="G59" s="51"/>
      <c r="H59" s="49"/>
      <c r="I59" s="50"/>
    </row>
    <row r="60" spans="1:9" ht="18" customHeight="1" x14ac:dyDescent="0.2">
      <c r="A60" s="35"/>
      <c r="B60" s="47"/>
      <c r="C60" s="47"/>
      <c r="D60" s="47"/>
      <c r="E60" s="47"/>
      <c r="F60" s="51"/>
      <c r="G60" s="51"/>
      <c r="H60" s="49"/>
      <c r="I60" s="50"/>
    </row>
    <row r="61" spans="1:9" ht="18" customHeight="1" x14ac:dyDescent="0.2">
      <c r="A61" s="35"/>
      <c r="B61" s="47"/>
      <c r="C61" s="47"/>
      <c r="D61" s="47"/>
      <c r="E61" s="47"/>
      <c r="F61" s="51"/>
      <c r="G61" s="51"/>
      <c r="H61" s="49"/>
      <c r="I61" s="50"/>
    </row>
    <row r="62" spans="1:9" ht="18" customHeight="1" x14ac:dyDescent="0.2">
      <c r="A62" s="35"/>
      <c r="B62" s="47"/>
      <c r="C62" s="47"/>
      <c r="D62" s="47"/>
      <c r="E62" s="47"/>
      <c r="F62" s="51"/>
      <c r="G62" s="51"/>
      <c r="H62" s="49"/>
      <c r="I62" s="50"/>
    </row>
    <row r="63" spans="1:9" ht="18" customHeight="1" x14ac:dyDescent="0.2">
      <c r="A63" s="35"/>
      <c r="B63" s="47"/>
      <c r="C63" s="47"/>
      <c r="D63" s="47"/>
      <c r="E63" s="47"/>
      <c r="F63" s="51"/>
      <c r="G63" s="51"/>
      <c r="H63" s="49"/>
      <c r="I63" s="50"/>
    </row>
    <row r="64" spans="1:9" ht="18" customHeight="1" x14ac:dyDescent="0.2">
      <c r="A64" s="35"/>
      <c r="B64" s="47"/>
      <c r="C64" s="47"/>
      <c r="D64" s="47"/>
      <c r="E64" s="47"/>
      <c r="F64" s="51"/>
      <c r="G64" s="51"/>
      <c r="H64" s="49"/>
      <c r="I64" s="50"/>
    </row>
    <row r="65" spans="1:9" ht="18" customHeight="1" x14ac:dyDescent="0.2">
      <c r="A65" s="35"/>
      <c r="B65" s="47"/>
      <c r="C65" s="47"/>
      <c r="D65" s="47"/>
      <c r="E65" s="47"/>
      <c r="F65" s="51"/>
      <c r="G65" s="51"/>
      <c r="H65" s="49"/>
      <c r="I65" s="50"/>
    </row>
    <row r="66" spans="1:9" ht="18" customHeight="1" x14ac:dyDescent="0.2">
      <c r="A66" s="35"/>
      <c r="B66" s="47"/>
      <c r="C66" s="47"/>
      <c r="D66" s="47"/>
      <c r="E66" s="47"/>
      <c r="F66" s="51"/>
      <c r="G66" s="51"/>
      <c r="H66" s="49"/>
      <c r="I66" s="50"/>
    </row>
    <row r="67" spans="1:9" ht="18" customHeight="1" x14ac:dyDescent="0.2">
      <c r="A67" s="35"/>
      <c r="B67" s="47"/>
      <c r="C67" s="47"/>
      <c r="D67" s="47"/>
      <c r="E67" s="47"/>
      <c r="F67" s="48"/>
      <c r="G67" s="40"/>
      <c r="H67" s="49"/>
      <c r="I67" s="50"/>
    </row>
    <row r="68" spans="1:9" ht="18" customHeight="1" x14ac:dyDescent="0.2">
      <c r="A68" s="35"/>
      <c r="B68" s="47"/>
      <c r="C68" s="47"/>
      <c r="D68" s="47"/>
      <c r="E68" s="47"/>
      <c r="F68" s="51"/>
      <c r="G68" s="51"/>
      <c r="H68" s="49"/>
      <c r="I68" s="50"/>
    </row>
    <row r="69" spans="1:9" ht="18" customHeight="1" x14ac:dyDescent="0.2">
      <c r="A69" s="35"/>
      <c r="B69" s="47"/>
      <c r="C69" s="47"/>
      <c r="D69" s="47"/>
      <c r="E69" s="47"/>
      <c r="F69" s="51"/>
      <c r="G69" s="51"/>
      <c r="H69" s="49"/>
      <c r="I69" s="50"/>
    </row>
    <row r="70" spans="1:9" ht="18" customHeight="1" x14ac:dyDescent="0.2">
      <c r="A70" s="35"/>
      <c r="B70" s="47"/>
      <c r="C70" s="47"/>
      <c r="D70" s="47"/>
      <c r="E70" s="47"/>
      <c r="F70" s="51"/>
      <c r="G70" s="51"/>
      <c r="H70" s="49"/>
      <c r="I70" s="50"/>
    </row>
    <row r="71" spans="1:9" ht="18" customHeight="1" x14ac:dyDescent="0.2">
      <c r="A71" s="35"/>
      <c r="B71" s="47"/>
      <c r="C71" s="47"/>
      <c r="D71" s="47"/>
      <c r="E71" s="47"/>
      <c r="F71" s="51"/>
      <c r="G71" s="51"/>
      <c r="H71" s="49"/>
      <c r="I71" s="50"/>
    </row>
    <row r="72" spans="1:9" ht="18" customHeight="1" x14ac:dyDescent="0.2">
      <c r="A72" s="35"/>
      <c r="B72" s="47"/>
      <c r="C72" s="47"/>
      <c r="D72" s="47"/>
      <c r="E72" s="47"/>
      <c r="F72" s="51"/>
      <c r="G72" s="51"/>
      <c r="H72" s="49"/>
      <c r="I72" s="50"/>
    </row>
    <row r="73" spans="1:9" ht="18" customHeight="1" x14ac:dyDescent="0.2">
      <c r="A73" s="35"/>
      <c r="B73" s="47"/>
      <c r="C73" s="47"/>
      <c r="D73" s="47"/>
      <c r="E73" s="47"/>
      <c r="F73" s="51"/>
      <c r="G73" s="51"/>
      <c r="H73" s="49"/>
      <c r="I73" s="50"/>
    </row>
    <row r="74" spans="1:9" ht="18" customHeight="1" x14ac:dyDescent="0.2">
      <c r="A74" s="35"/>
      <c r="B74" s="47"/>
      <c r="C74" s="47"/>
      <c r="D74" s="47"/>
      <c r="E74" s="47"/>
      <c r="F74" s="51"/>
      <c r="G74" s="51"/>
      <c r="H74" s="49"/>
      <c r="I74" s="50"/>
    </row>
    <row r="75" spans="1:9" ht="18" customHeight="1" x14ac:dyDescent="0.2">
      <c r="A75" s="35"/>
      <c r="B75" s="47"/>
      <c r="C75" s="47"/>
      <c r="D75" s="47"/>
      <c r="E75" s="47"/>
      <c r="F75" s="51"/>
      <c r="G75" s="51"/>
      <c r="H75" s="49"/>
      <c r="I75" s="50"/>
    </row>
    <row r="76" spans="1:9" ht="18" customHeight="1" x14ac:dyDescent="0.2">
      <c r="A76" s="35"/>
      <c r="B76" s="47"/>
      <c r="C76" s="47"/>
      <c r="D76" s="47"/>
      <c r="E76" s="47"/>
      <c r="F76" s="51"/>
      <c r="G76" s="51"/>
      <c r="H76" s="49"/>
      <c r="I76" s="50"/>
    </row>
    <row r="77" spans="1:9" ht="18" customHeight="1" x14ac:dyDescent="0.2">
      <c r="A77" s="35"/>
      <c r="B77" s="47"/>
      <c r="C77" s="47"/>
      <c r="D77" s="47"/>
      <c r="E77" s="47"/>
      <c r="F77" s="51"/>
      <c r="G77" s="51"/>
      <c r="H77" s="49"/>
      <c r="I77" s="50"/>
    </row>
  </sheetData>
  <mergeCells count="55">
    <mergeCell ref="F45:G45"/>
    <mergeCell ref="F42:G42"/>
    <mergeCell ref="F17:G17"/>
    <mergeCell ref="F47:G47"/>
    <mergeCell ref="F31:G31"/>
    <mergeCell ref="F46:G46"/>
    <mergeCell ref="F28:G28"/>
    <mergeCell ref="F23:G23"/>
    <mergeCell ref="F43:G43"/>
    <mergeCell ref="F29:G29"/>
    <mergeCell ref="F25:G25"/>
    <mergeCell ref="F10:G10"/>
    <mergeCell ref="F19:G19"/>
    <mergeCell ref="F34:G34"/>
    <mergeCell ref="C5:D5"/>
    <mergeCell ref="C4:D4"/>
    <mergeCell ref="F30:G30"/>
    <mergeCell ref="F20:G20"/>
    <mergeCell ref="F18:G18"/>
    <mergeCell ref="F33:G33"/>
    <mergeCell ref="F13:G13"/>
    <mergeCell ref="F15:G15"/>
    <mergeCell ref="F16:G16"/>
    <mergeCell ref="F52:G52"/>
    <mergeCell ref="F67:G67"/>
    <mergeCell ref="F37:G37"/>
    <mergeCell ref="E5:G5"/>
    <mergeCell ref="E4:G4"/>
    <mergeCell ref="F14:G14"/>
    <mergeCell ref="F11:G11"/>
    <mergeCell ref="F40:G40"/>
    <mergeCell ref="F12:G12"/>
    <mergeCell ref="F24:G24"/>
    <mergeCell ref="F22:G22"/>
    <mergeCell ref="F49:G49"/>
    <mergeCell ref="F53:G53"/>
    <mergeCell ref="F36:G36"/>
    <mergeCell ref="F50:G50"/>
    <mergeCell ref="F9:G9"/>
    <mergeCell ref="B2:I2"/>
    <mergeCell ref="F51:G51"/>
    <mergeCell ref="F32:G32"/>
    <mergeCell ref="F26:G26"/>
    <mergeCell ref="F41:G41"/>
    <mergeCell ref="F35:G35"/>
    <mergeCell ref="F38:G38"/>
    <mergeCell ref="F27:G27"/>
    <mergeCell ref="B3:I3"/>
    <mergeCell ref="H4:I4"/>
    <mergeCell ref="F39:G39"/>
    <mergeCell ref="F48:G48"/>
    <mergeCell ref="H5:I5"/>
    <mergeCell ref="F44:G44"/>
    <mergeCell ref="F7:G7"/>
    <mergeCell ref="F21:G21"/>
  </mergeCell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66"/>
  <sheetViews>
    <sheetView showGridLines="0" tabSelected="1" workbookViewId="0">
      <selection activeCell="E10" sqref="E10"/>
    </sheetView>
  </sheetViews>
  <sheetFormatPr baseColWidth="10" defaultColWidth="8.83203125" defaultRowHeight="15" x14ac:dyDescent="0.2"/>
  <cols>
    <col min="1" max="1" width="3" customWidth="1"/>
    <col min="2" max="2" width="32.83203125" bestFit="1" customWidth="1"/>
    <col min="3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3" customWidth="1"/>
  </cols>
  <sheetData>
    <row r="2" spans="1:9" ht="35" customHeight="1" x14ac:dyDescent="0.2">
      <c r="B2" s="34" t="s">
        <v>0</v>
      </c>
      <c r="C2" s="24"/>
      <c r="D2" s="24"/>
      <c r="E2" s="24"/>
      <c r="F2" s="24"/>
      <c r="G2" s="24"/>
      <c r="H2" s="24"/>
    </row>
    <row r="4" spans="1:9" ht="28" customHeight="1" x14ac:dyDescent="0.2">
      <c r="A4" s="6"/>
      <c r="B4" s="6" t="s">
        <v>1</v>
      </c>
      <c r="C4" s="6" t="s">
        <v>2</v>
      </c>
      <c r="D4" s="6" t="s">
        <v>3</v>
      </c>
      <c r="E4" s="6" t="s">
        <v>4</v>
      </c>
      <c r="F4" s="6" t="s">
        <v>5</v>
      </c>
      <c r="G4" s="6" t="s">
        <v>6</v>
      </c>
      <c r="H4" s="6" t="s">
        <v>7</v>
      </c>
      <c r="I4" s="6"/>
    </row>
    <row r="6" spans="1:9" ht="22" customHeight="1" x14ac:dyDescent="0.2">
      <c r="B6" s="53" t="s">
        <v>8</v>
      </c>
      <c r="C6" s="37" t="s">
        <v>9</v>
      </c>
      <c r="D6" s="37">
        <v>218</v>
      </c>
      <c r="E6" s="38" t="s">
        <v>10</v>
      </c>
      <c r="F6" s="54">
        <v>30</v>
      </c>
      <c r="G6" s="41">
        <v>32.700000000000003</v>
      </c>
      <c r="H6" s="55">
        <f>F6+G6</f>
        <v>62.7</v>
      </c>
    </row>
    <row r="7" spans="1:9" ht="22" customHeight="1" x14ac:dyDescent="0.2">
      <c r="B7" s="53" t="s">
        <v>11</v>
      </c>
      <c r="C7" s="37" t="s">
        <v>9</v>
      </c>
      <c r="D7" s="43">
        <v>45</v>
      </c>
      <c r="E7" s="38" t="s">
        <v>12</v>
      </c>
      <c r="F7" s="54">
        <v>180</v>
      </c>
      <c r="G7" s="41">
        <v>40.5</v>
      </c>
      <c r="H7" s="55">
        <f>F7+G7</f>
        <v>220.5</v>
      </c>
    </row>
    <row r="8" spans="1:9" ht="22" customHeight="1" x14ac:dyDescent="0.2">
      <c r="B8" s="53" t="s">
        <v>13</v>
      </c>
      <c r="C8" s="37" t="s">
        <v>14</v>
      </c>
      <c r="D8" s="44">
        <v>88</v>
      </c>
      <c r="E8" s="38" t="s">
        <v>15</v>
      </c>
      <c r="F8" s="54">
        <v>500</v>
      </c>
      <c r="G8" s="41">
        <v>220</v>
      </c>
      <c r="H8" s="55">
        <f>F8+G8</f>
        <v>720</v>
      </c>
    </row>
    <row r="9" spans="1:9" ht="22" customHeight="1" x14ac:dyDescent="0.2">
      <c r="B9" s="53" t="s">
        <v>16</v>
      </c>
      <c r="C9" s="37" t="s">
        <v>17</v>
      </c>
      <c r="D9" s="44">
        <v>113</v>
      </c>
      <c r="E9" s="38" t="s">
        <v>18</v>
      </c>
      <c r="F9" s="54">
        <v>1200</v>
      </c>
      <c r="G9" s="41">
        <v>678.6</v>
      </c>
      <c r="H9" s="55">
        <f>F9+G9</f>
        <v>1878.6</v>
      </c>
    </row>
    <row r="10" spans="1:9" ht="22" customHeight="1" x14ac:dyDescent="0.2">
      <c r="B10" s="56"/>
      <c r="C10" s="57"/>
      <c r="D10" s="57"/>
      <c r="E10" s="38"/>
      <c r="F10" s="58"/>
      <c r="G10" s="59"/>
      <c r="H10" s="60"/>
    </row>
    <row r="11" spans="1:9" ht="22" customHeight="1" x14ac:dyDescent="0.2">
      <c r="B11" s="56"/>
      <c r="C11" s="57"/>
      <c r="D11" s="57"/>
      <c r="E11" s="38"/>
      <c r="F11" s="58"/>
      <c r="G11" s="59"/>
      <c r="H11" s="60"/>
    </row>
    <row r="12" spans="1:9" ht="22" customHeight="1" x14ac:dyDescent="0.2">
      <c r="B12" s="56"/>
      <c r="C12" s="57"/>
      <c r="D12" s="57"/>
      <c r="E12" s="38"/>
      <c r="F12" s="58"/>
      <c r="G12" s="59"/>
      <c r="H12" s="60"/>
    </row>
    <row r="13" spans="1:9" ht="22" customHeight="1" x14ac:dyDescent="0.2">
      <c r="B13" s="56"/>
      <c r="C13" s="57"/>
      <c r="D13" s="57"/>
      <c r="E13" s="38"/>
      <c r="F13" s="58"/>
      <c r="G13" s="59"/>
      <c r="H13" s="60"/>
    </row>
    <row r="14" spans="1:9" ht="22" customHeight="1" x14ac:dyDescent="0.2">
      <c r="B14" s="56"/>
      <c r="C14" s="57"/>
      <c r="D14" s="57"/>
      <c r="E14" s="38"/>
      <c r="F14" s="58"/>
      <c r="G14" s="59"/>
      <c r="H14" s="60"/>
    </row>
    <row r="15" spans="1:9" ht="22" customHeight="1" x14ac:dyDescent="0.2">
      <c r="B15" s="56"/>
      <c r="C15" s="57"/>
      <c r="D15" s="57"/>
      <c r="E15" s="38"/>
      <c r="F15" s="58"/>
      <c r="G15" s="59"/>
      <c r="H15" s="60"/>
    </row>
    <row r="16" spans="1:9" ht="22" customHeight="1" x14ac:dyDescent="0.2">
      <c r="B16" s="56"/>
      <c r="C16" s="57"/>
      <c r="D16" s="57"/>
      <c r="E16" s="38"/>
      <c r="F16" s="58"/>
      <c r="G16" s="59"/>
      <c r="H16" s="60"/>
    </row>
    <row r="17" spans="2:8" ht="22" customHeight="1" x14ac:dyDescent="0.2">
      <c r="B17" s="56"/>
      <c r="C17" s="57"/>
      <c r="D17" s="57"/>
      <c r="E17" s="38"/>
      <c r="F17" s="58"/>
      <c r="G17" s="59"/>
      <c r="H17" s="60"/>
    </row>
    <row r="18" spans="2:8" ht="22" customHeight="1" x14ac:dyDescent="0.2">
      <c r="B18" s="56"/>
      <c r="C18" s="57"/>
      <c r="D18" s="57"/>
      <c r="E18" s="38"/>
      <c r="F18" s="58"/>
      <c r="G18" s="59"/>
      <c r="H18" s="60"/>
    </row>
    <row r="19" spans="2:8" ht="22" customHeight="1" x14ac:dyDescent="0.2">
      <c r="B19" s="56"/>
      <c r="C19" s="57"/>
      <c r="D19" s="57"/>
      <c r="E19" s="38"/>
      <c r="F19" s="58"/>
      <c r="G19" s="59"/>
      <c r="H19" s="60"/>
    </row>
    <row r="20" spans="2:8" ht="22" customHeight="1" x14ac:dyDescent="0.2">
      <c r="B20" s="56"/>
      <c r="C20" s="57"/>
      <c r="D20" s="57"/>
      <c r="E20" s="38"/>
      <c r="F20" s="58"/>
      <c r="G20" s="59"/>
      <c r="H20" s="60"/>
    </row>
    <row r="21" spans="2:8" ht="22" customHeight="1" x14ac:dyDescent="0.2">
      <c r="B21" s="56"/>
      <c r="C21" s="57"/>
      <c r="D21" s="57"/>
      <c r="E21" s="38"/>
      <c r="F21" s="58"/>
      <c r="G21" s="59"/>
      <c r="H21" s="60"/>
    </row>
    <row r="22" spans="2:8" ht="22" customHeight="1" x14ac:dyDescent="0.2">
      <c r="B22" s="56"/>
      <c r="C22" s="57"/>
      <c r="D22" s="57"/>
      <c r="E22" s="38"/>
      <c r="F22" s="58"/>
      <c r="G22" s="59"/>
      <c r="H22" s="60"/>
    </row>
    <row r="23" spans="2:8" ht="22" customHeight="1" x14ac:dyDescent="0.2">
      <c r="B23" s="56"/>
      <c r="C23" s="57"/>
      <c r="D23" s="57"/>
      <c r="E23" s="38"/>
      <c r="F23" s="58"/>
      <c r="G23" s="59"/>
      <c r="H23" s="60"/>
    </row>
    <row r="24" spans="2:8" ht="22" customHeight="1" x14ac:dyDescent="0.2">
      <c r="B24" s="56"/>
      <c r="C24" s="57"/>
      <c r="D24" s="57"/>
      <c r="E24" s="38"/>
      <c r="F24" s="58"/>
      <c r="G24" s="59"/>
      <c r="H24" s="60"/>
    </row>
    <row r="25" spans="2:8" ht="22" customHeight="1" x14ac:dyDescent="0.2">
      <c r="B25" s="56"/>
      <c r="C25" s="57"/>
      <c r="D25" s="57"/>
      <c r="E25" s="38"/>
      <c r="F25" s="58"/>
      <c r="G25" s="59"/>
      <c r="H25" s="60"/>
    </row>
    <row r="26" spans="2:8" ht="22" customHeight="1" x14ac:dyDescent="0.2">
      <c r="B26" s="56"/>
      <c r="C26" s="57"/>
      <c r="D26" s="57"/>
      <c r="E26" s="38"/>
      <c r="F26" s="58"/>
      <c r="G26" s="59"/>
      <c r="H26" s="60"/>
    </row>
    <row r="27" spans="2:8" ht="22" customHeight="1" x14ac:dyDescent="0.2">
      <c r="B27" s="56"/>
      <c r="C27" s="57"/>
      <c r="D27" s="57"/>
      <c r="E27" s="38"/>
      <c r="F27" s="58"/>
      <c r="G27" s="59"/>
      <c r="H27" s="60"/>
    </row>
    <row r="28" spans="2:8" ht="22" customHeight="1" x14ac:dyDescent="0.2">
      <c r="B28" s="56"/>
      <c r="C28" s="57"/>
      <c r="D28" s="57"/>
      <c r="E28" s="38"/>
      <c r="F28" s="58"/>
      <c r="G28" s="59"/>
      <c r="H28" s="60"/>
    </row>
    <row r="29" spans="2:8" ht="22" customHeight="1" x14ac:dyDescent="0.2">
      <c r="B29" s="56"/>
      <c r="C29" s="57"/>
      <c r="D29" s="57"/>
      <c r="E29" s="38"/>
      <c r="F29" s="58"/>
      <c r="G29" s="59"/>
      <c r="H29" s="60"/>
    </row>
    <row r="30" spans="2:8" ht="22" customHeight="1" x14ac:dyDescent="0.2">
      <c r="B30" s="56"/>
      <c r="C30" s="57"/>
      <c r="D30" s="57"/>
      <c r="E30" s="38"/>
      <c r="F30" s="58"/>
      <c r="G30" s="59"/>
      <c r="H30" s="60"/>
    </row>
    <row r="31" spans="2:8" ht="22" customHeight="1" x14ac:dyDescent="0.2">
      <c r="B31" s="56"/>
      <c r="C31" s="57"/>
      <c r="D31" s="57"/>
      <c r="E31" s="38"/>
      <c r="F31" s="58"/>
      <c r="G31" s="59"/>
      <c r="H31" s="60"/>
    </row>
    <row r="32" spans="2:8" ht="22" customHeight="1" x14ac:dyDescent="0.2">
      <c r="B32" s="56"/>
      <c r="C32" s="57"/>
      <c r="D32" s="57"/>
      <c r="E32" s="38"/>
      <c r="F32" s="58"/>
      <c r="G32" s="59"/>
      <c r="H32" s="60"/>
    </row>
    <row r="33" spans="2:8" ht="22" customHeight="1" x14ac:dyDescent="0.2">
      <c r="B33" s="56"/>
      <c r="C33" s="57"/>
      <c r="D33" s="57"/>
      <c r="E33" s="38"/>
      <c r="F33" s="58"/>
      <c r="G33" s="59"/>
      <c r="H33" s="60"/>
    </row>
    <row r="34" spans="2:8" ht="22" customHeight="1" x14ac:dyDescent="0.2">
      <c r="B34" s="56"/>
      <c r="C34" s="57"/>
      <c r="D34" s="57"/>
      <c r="E34" s="38"/>
      <c r="F34" s="58"/>
      <c r="G34" s="59"/>
      <c r="H34" s="60"/>
    </row>
    <row r="35" spans="2:8" ht="22" customHeight="1" x14ac:dyDescent="0.2">
      <c r="B35" s="56"/>
      <c r="C35" s="57"/>
      <c r="D35" s="57"/>
      <c r="E35" s="38"/>
      <c r="F35" s="58"/>
      <c r="G35" s="59"/>
      <c r="H35" s="60"/>
    </row>
    <row r="36" spans="2:8" ht="22" customHeight="1" x14ac:dyDescent="0.2">
      <c r="B36" s="56"/>
      <c r="C36" s="57"/>
      <c r="D36" s="57"/>
      <c r="E36" s="38"/>
      <c r="F36" s="58"/>
      <c r="G36" s="59"/>
      <c r="H36" s="60"/>
    </row>
    <row r="37" spans="2:8" ht="22" customHeight="1" x14ac:dyDescent="0.2">
      <c r="B37" s="56"/>
      <c r="C37" s="57"/>
      <c r="D37" s="57"/>
      <c r="E37" s="38"/>
      <c r="F37" s="58"/>
      <c r="G37" s="59"/>
      <c r="H37" s="60"/>
    </row>
    <row r="38" spans="2:8" ht="22" customHeight="1" x14ac:dyDescent="0.2">
      <c r="B38" s="56"/>
      <c r="C38" s="57"/>
      <c r="D38" s="57"/>
      <c r="E38" s="38"/>
      <c r="F38" s="58"/>
      <c r="G38" s="59"/>
      <c r="H38" s="60"/>
    </row>
    <row r="39" spans="2:8" ht="22" customHeight="1" x14ac:dyDescent="0.2">
      <c r="B39" s="56"/>
      <c r="C39" s="57"/>
      <c r="D39" s="57"/>
      <c r="E39" s="38"/>
      <c r="F39" s="58"/>
      <c r="G39" s="59"/>
      <c r="H39" s="60"/>
    </row>
    <row r="40" spans="2:8" ht="22" customHeight="1" x14ac:dyDescent="0.2">
      <c r="B40" s="56"/>
      <c r="C40" s="57"/>
      <c r="D40" s="57"/>
      <c r="E40" s="38"/>
      <c r="F40" s="58"/>
      <c r="G40" s="59"/>
      <c r="H40" s="60"/>
    </row>
    <row r="41" spans="2:8" ht="22" customHeight="1" x14ac:dyDescent="0.2">
      <c r="B41" s="56"/>
      <c r="C41" s="57"/>
      <c r="D41" s="57"/>
      <c r="E41" s="38"/>
      <c r="F41" s="58"/>
      <c r="G41" s="59"/>
      <c r="H41" s="60"/>
    </row>
    <row r="42" spans="2:8" ht="22" customHeight="1" x14ac:dyDescent="0.2">
      <c r="B42" s="56"/>
      <c r="C42" s="57"/>
      <c r="D42" s="57"/>
      <c r="E42" s="38"/>
      <c r="F42" s="58"/>
      <c r="G42" s="59"/>
      <c r="H42" s="60"/>
    </row>
    <row r="43" spans="2:8" ht="22" customHeight="1" x14ac:dyDescent="0.2">
      <c r="B43" s="56"/>
      <c r="C43" s="57"/>
      <c r="D43" s="57"/>
      <c r="E43" s="38"/>
      <c r="F43" s="58"/>
      <c r="G43" s="59"/>
      <c r="H43" s="60"/>
    </row>
    <row r="44" spans="2:8" ht="22" customHeight="1" x14ac:dyDescent="0.2">
      <c r="B44" s="56"/>
      <c r="C44" s="57"/>
      <c r="D44" s="57"/>
      <c r="E44" s="38"/>
      <c r="F44" s="58"/>
      <c r="G44" s="59"/>
      <c r="H44" s="60"/>
    </row>
    <row r="45" spans="2:8" ht="22" customHeight="1" x14ac:dyDescent="0.2">
      <c r="B45" s="56"/>
      <c r="C45" s="57"/>
      <c r="D45" s="57"/>
      <c r="E45" s="38"/>
      <c r="F45" s="58"/>
      <c r="G45" s="59"/>
      <c r="H45" s="60"/>
    </row>
    <row r="46" spans="2:8" ht="22" customHeight="1" x14ac:dyDescent="0.2">
      <c r="B46" s="56"/>
      <c r="C46" s="57"/>
      <c r="D46" s="57"/>
      <c r="E46" s="38"/>
      <c r="F46" s="58"/>
      <c r="G46" s="59"/>
      <c r="H46" s="60"/>
    </row>
    <row r="47" spans="2:8" ht="22" customHeight="1" x14ac:dyDescent="0.2">
      <c r="B47" s="56"/>
      <c r="C47" s="57"/>
      <c r="D47" s="57"/>
      <c r="E47" s="38"/>
      <c r="F47" s="58"/>
      <c r="G47" s="59"/>
      <c r="H47" s="60"/>
    </row>
    <row r="48" spans="2:8" ht="22" customHeight="1" x14ac:dyDescent="0.2">
      <c r="B48" s="56"/>
      <c r="C48" s="57"/>
      <c r="D48" s="57"/>
      <c r="E48" s="38"/>
      <c r="F48" s="58"/>
      <c r="G48" s="59"/>
      <c r="H48" s="60"/>
    </row>
    <row r="49" spans="2:8" ht="22" customHeight="1" x14ac:dyDescent="0.2">
      <c r="B49" s="56"/>
      <c r="C49" s="57"/>
      <c r="D49" s="57"/>
      <c r="E49" s="38"/>
      <c r="F49" s="58"/>
      <c r="G49" s="59"/>
      <c r="H49" s="60"/>
    </row>
    <row r="50" spans="2:8" ht="22" customHeight="1" x14ac:dyDescent="0.2">
      <c r="B50" s="56"/>
      <c r="C50" s="57"/>
      <c r="D50" s="57"/>
      <c r="E50" s="38"/>
      <c r="F50" s="58"/>
      <c r="G50" s="59"/>
      <c r="H50" s="60"/>
    </row>
    <row r="51" spans="2:8" ht="22" customHeight="1" x14ac:dyDescent="0.2">
      <c r="B51" s="56"/>
      <c r="C51" s="57"/>
      <c r="D51" s="57"/>
      <c r="E51" s="38"/>
      <c r="F51" s="58"/>
      <c r="G51" s="59"/>
      <c r="H51" s="60"/>
    </row>
    <row r="52" spans="2:8" ht="22" customHeight="1" x14ac:dyDescent="0.2">
      <c r="B52" s="56"/>
      <c r="C52" s="57"/>
      <c r="D52" s="57"/>
      <c r="E52" s="38"/>
      <c r="F52" s="58"/>
      <c r="G52" s="59"/>
      <c r="H52" s="60"/>
    </row>
    <row r="53" spans="2:8" ht="22" customHeight="1" x14ac:dyDescent="0.2">
      <c r="B53" s="56"/>
      <c r="C53" s="57"/>
      <c r="D53" s="57"/>
      <c r="E53" s="38"/>
      <c r="F53" s="58"/>
      <c r="G53" s="59"/>
      <c r="H53" s="60"/>
    </row>
    <row r="54" spans="2:8" ht="22" customHeight="1" x14ac:dyDescent="0.2">
      <c r="B54" s="56"/>
      <c r="C54" s="57"/>
      <c r="D54" s="57"/>
      <c r="E54" s="38"/>
      <c r="F54" s="58"/>
      <c r="G54" s="59"/>
      <c r="H54" s="60"/>
    </row>
    <row r="55" spans="2:8" ht="22" customHeight="1" x14ac:dyDescent="0.2">
      <c r="B55" s="56"/>
      <c r="C55" s="57"/>
      <c r="D55" s="57"/>
      <c r="E55" s="38"/>
      <c r="F55" s="58"/>
      <c r="G55" s="59"/>
      <c r="H55" s="60"/>
    </row>
    <row r="56" spans="2:8" ht="22" customHeight="1" x14ac:dyDescent="0.2">
      <c r="B56" s="56"/>
      <c r="C56" s="57"/>
      <c r="D56" s="57"/>
      <c r="E56" s="38"/>
      <c r="F56" s="58"/>
      <c r="G56" s="59"/>
      <c r="H56" s="60"/>
    </row>
    <row r="57" spans="2:8" ht="22" customHeight="1" x14ac:dyDescent="0.2">
      <c r="B57" s="56"/>
      <c r="C57" s="57"/>
      <c r="D57" s="57"/>
      <c r="E57" s="38"/>
      <c r="F57" s="58"/>
      <c r="G57" s="59"/>
      <c r="H57" s="60"/>
    </row>
    <row r="58" spans="2:8" ht="22" customHeight="1" x14ac:dyDescent="0.2">
      <c r="B58" s="56"/>
      <c r="C58" s="57"/>
      <c r="D58" s="57"/>
      <c r="E58" s="38"/>
      <c r="F58" s="58"/>
      <c r="G58" s="59"/>
      <c r="H58" s="60"/>
    </row>
    <row r="59" spans="2:8" ht="22" customHeight="1" x14ac:dyDescent="0.2">
      <c r="B59" s="56"/>
      <c r="C59" s="57"/>
      <c r="D59" s="57"/>
      <c r="E59" s="38"/>
      <c r="F59" s="58"/>
      <c r="G59" s="59"/>
      <c r="H59" s="60"/>
    </row>
    <row r="60" spans="2:8" ht="22" customHeight="1" x14ac:dyDescent="0.2">
      <c r="B60" s="56"/>
      <c r="C60" s="57"/>
      <c r="D60" s="57"/>
      <c r="E60" s="38"/>
      <c r="F60" s="58"/>
      <c r="G60" s="59"/>
      <c r="H60" s="60"/>
    </row>
    <row r="61" spans="2:8" ht="22" customHeight="1" x14ac:dyDescent="0.2">
      <c r="B61" s="56"/>
      <c r="C61" s="57"/>
      <c r="D61" s="57"/>
      <c r="E61" s="38"/>
      <c r="F61" s="58"/>
      <c r="G61" s="59"/>
      <c r="H61" s="60"/>
    </row>
    <row r="62" spans="2:8" ht="22" customHeight="1" x14ac:dyDescent="0.2">
      <c r="B62" s="56"/>
      <c r="C62" s="57"/>
      <c r="D62" s="57"/>
      <c r="E62" s="38"/>
      <c r="F62" s="58"/>
      <c r="G62" s="59"/>
      <c r="H62" s="60"/>
    </row>
    <row r="63" spans="2:8" ht="22" customHeight="1" x14ac:dyDescent="0.2">
      <c r="B63" s="56"/>
      <c r="C63" s="57"/>
      <c r="D63" s="57"/>
      <c r="E63" s="38"/>
      <c r="F63" s="58"/>
      <c r="G63" s="59"/>
      <c r="H63" s="60"/>
    </row>
    <row r="64" spans="2:8" ht="22" customHeight="1" x14ac:dyDescent="0.2">
      <c r="B64" s="56"/>
      <c r="C64" s="57"/>
      <c r="D64" s="57"/>
      <c r="E64" s="38"/>
      <c r="F64" s="58"/>
      <c r="G64" s="59"/>
      <c r="H64" s="60"/>
    </row>
    <row r="65" spans="2:8" ht="22" customHeight="1" x14ac:dyDescent="0.2">
      <c r="B65" s="56"/>
      <c r="C65" s="57"/>
      <c r="D65" s="57"/>
      <c r="E65" s="38"/>
      <c r="F65" s="58"/>
      <c r="G65" s="59"/>
      <c r="H65" s="60"/>
    </row>
    <row r="66" spans="2:8" ht="22" customHeight="1" x14ac:dyDescent="0.2">
      <c r="B66" s="56"/>
      <c r="C66" s="57"/>
      <c r="D66" s="57"/>
      <c r="E66" s="38"/>
      <c r="F66" s="58"/>
      <c r="G66" s="59"/>
      <c r="H66" s="60"/>
    </row>
  </sheetData>
  <mergeCells count="1"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6"/>
  <sheetViews>
    <sheetView showGridLines="0" workbookViewId="0"/>
  </sheetViews>
  <sheetFormatPr baseColWidth="10" defaultColWidth="8.83203125" defaultRowHeight="15" x14ac:dyDescent="0.2"/>
  <cols>
    <col min="1" max="1" width="3" customWidth="1"/>
    <col min="2" max="2" width="18" customWidth="1"/>
    <col min="3" max="3" width="12" customWidth="1"/>
    <col min="4" max="6" width="16" customWidth="1"/>
    <col min="7" max="7" width="3" customWidth="1"/>
  </cols>
  <sheetData>
    <row r="2" spans="1:7" ht="35" customHeight="1" x14ac:dyDescent="0.2">
      <c r="B2" s="34" t="s">
        <v>29</v>
      </c>
      <c r="C2" s="24"/>
      <c r="D2" s="24"/>
      <c r="E2" s="24"/>
      <c r="F2" s="24"/>
    </row>
    <row r="4" spans="1:7" ht="28" customHeight="1" x14ac:dyDescent="0.2">
      <c r="A4" s="6"/>
      <c r="B4" s="6" t="s">
        <v>2</v>
      </c>
      <c r="C4" s="6" t="s">
        <v>30</v>
      </c>
      <c r="D4" s="6" t="s">
        <v>5</v>
      </c>
      <c r="E4" s="6" t="s">
        <v>25</v>
      </c>
      <c r="F4" s="6" t="s">
        <v>7</v>
      </c>
      <c r="G4" s="6"/>
    </row>
    <row r="6" spans="1:7" ht="22" customHeight="1" x14ac:dyDescent="0.2">
      <c r="B6" s="7" t="s">
        <v>31</v>
      </c>
      <c r="C6" s="8">
        <v>0</v>
      </c>
      <c r="D6" s="2">
        <v>0</v>
      </c>
      <c r="E6" s="3">
        <v>0</v>
      </c>
      <c r="F6" s="4">
        <f t="shared" ref="F6:F14" si="0">D6+E6</f>
        <v>0</v>
      </c>
    </row>
    <row r="7" spans="1:7" ht="22" customHeight="1" x14ac:dyDescent="0.2">
      <c r="B7" s="9" t="s">
        <v>32</v>
      </c>
      <c r="C7" s="8">
        <v>0</v>
      </c>
      <c r="D7" s="2">
        <v>0</v>
      </c>
      <c r="E7" s="3">
        <v>0</v>
      </c>
      <c r="F7" s="4">
        <f t="shared" si="0"/>
        <v>0</v>
      </c>
    </row>
    <row r="8" spans="1:7" ht="22" customHeight="1" x14ac:dyDescent="0.2">
      <c r="B8" s="10" t="s">
        <v>33</v>
      </c>
      <c r="C8" s="8">
        <v>0</v>
      </c>
      <c r="D8" s="2">
        <v>0</v>
      </c>
      <c r="E8" s="3">
        <v>0</v>
      </c>
      <c r="F8" s="4">
        <f t="shared" si="0"/>
        <v>0</v>
      </c>
    </row>
    <row r="9" spans="1:7" ht="22" customHeight="1" x14ac:dyDescent="0.2">
      <c r="B9" s="11" t="s">
        <v>34</v>
      </c>
      <c r="C9" s="8">
        <v>0</v>
      </c>
      <c r="D9" s="2">
        <v>0</v>
      </c>
      <c r="E9" s="3">
        <v>0</v>
      </c>
      <c r="F9" s="4">
        <f t="shared" si="0"/>
        <v>0</v>
      </c>
    </row>
    <row r="10" spans="1:7" ht="22" customHeight="1" x14ac:dyDescent="0.2">
      <c r="B10" s="12" t="s">
        <v>35</v>
      </c>
      <c r="C10" s="8">
        <v>0</v>
      </c>
      <c r="D10" s="2">
        <v>0</v>
      </c>
      <c r="E10" s="3">
        <v>0</v>
      </c>
      <c r="F10" s="4">
        <f t="shared" si="0"/>
        <v>0</v>
      </c>
    </row>
    <row r="11" spans="1:7" ht="22" customHeight="1" x14ac:dyDescent="0.2">
      <c r="B11" s="13" t="s">
        <v>27</v>
      </c>
      <c r="C11" s="8">
        <v>1</v>
      </c>
      <c r="D11" s="2">
        <v>350</v>
      </c>
      <c r="E11" s="3">
        <v>59.5</v>
      </c>
      <c r="F11" s="4">
        <f t="shared" si="0"/>
        <v>409.5</v>
      </c>
    </row>
    <row r="12" spans="1:7" ht="22" customHeight="1" x14ac:dyDescent="0.2">
      <c r="B12" s="14" t="s">
        <v>17</v>
      </c>
      <c r="C12" s="8">
        <v>1</v>
      </c>
      <c r="D12" s="2">
        <v>1200</v>
      </c>
      <c r="E12" s="3">
        <v>678.6</v>
      </c>
      <c r="F12" s="4">
        <f t="shared" si="0"/>
        <v>1878.6</v>
      </c>
    </row>
    <row r="13" spans="1:7" ht="22" customHeight="1" x14ac:dyDescent="0.2">
      <c r="B13" s="15" t="s">
        <v>14</v>
      </c>
      <c r="C13" s="8">
        <v>1</v>
      </c>
      <c r="D13" s="2">
        <v>500</v>
      </c>
      <c r="E13" s="3">
        <v>220</v>
      </c>
      <c r="F13" s="4">
        <f t="shared" si="0"/>
        <v>720</v>
      </c>
    </row>
    <row r="14" spans="1:7" ht="22" customHeight="1" x14ac:dyDescent="0.2">
      <c r="B14" s="16" t="s">
        <v>9</v>
      </c>
      <c r="C14" s="8">
        <v>3</v>
      </c>
      <c r="D14" s="2">
        <v>210</v>
      </c>
      <c r="E14" s="3">
        <v>73.2</v>
      </c>
      <c r="F14" s="4">
        <f t="shared" si="0"/>
        <v>283.2</v>
      </c>
    </row>
    <row r="16" spans="1:7" x14ac:dyDescent="0.2">
      <c r="B16" s="21" t="s">
        <v>36</v>
      </c>
      <c r="C16" s="22">
        <f>SUM(C6:C15)</f>
        <v>6</v>
      </c>
      <c r="D16" s="5">
        <f>SUM(D6:D15)</f>
        <v>2260</v>
      </c>
      <c r="E16" s="5">
        <f>SUM(E6:E15)</f>
        <v>1031.3</v>
      </c>
      <c r="F16" s="5">
        <f>SUM(F6:F15)</f>
        <v>3291.2999999999997</v>
      </c>
    </row>
  </sheetData>
  <mergeCells count="1">
    <mergeCell ref="B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 Executivo</vt:lpstr>
      <vt:lpstr>Detalhamento por Cliente</vt:lpstr>
      <vt:lpstr>Análise por Etapa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a12977</cp:lastModifiedBy>
  <dcterms:created xsi:type="dcterms:W3CDTF">2026-05-14T14:56:51Z</dcterms:created>
  <dcterms:modified xsi:type="dcterms:W3CDTF">2026-05-25T18:06:44Z</dcterms:modified>
</cp:coreProperties>
</file>